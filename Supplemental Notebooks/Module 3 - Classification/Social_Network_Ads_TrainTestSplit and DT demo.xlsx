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02b7ee24bb705b/Documents/1_RoboGarden/Instruction/Bootcamp/Week 2/Oct 2025/"/>
    </mc:Choice>
  </mc:AlternateContent>
  <xr:revisionPtr revIDLastSave="370" documentId="13_ncr:40009_{C9E82F1D-AA2F-4A8E-8999-652EC20616EF}" xr6:coauthVersionLast="47" xr6:coauthVersionMax="47" xr10:uidLastSave="{45851BA0-CFA6-4BB9-9ED5-B9D6EDAE1425}"/>
  <bookViews>
    <workbookView xWindow="17175" yWindow="105" windowWidth="21150" windowHeight="20880" activeTab="3" xr2:uid="{00000000-000D-0000-FFFF-FFFF00000000}"/>
  </bookViews>
  <sheets>
    <sheet name="Original" sheetId="2" r:id="rId1"/>
    <sheet name="Split 1" sheetId="1" r:id="rId2"/>
    <sheet name="Split 2" sheetId="3" r:id="rId3"/>
    <sheet name="Decision Tree" sheetId="4" r:id="rId4"/>
  </sheets>
  <definedNames>
    <definedName name="_xlnm._FilterDatabase" localSheetId="3" hidden="1">'Decision Tree'!$X$2:$Z$2</definedName>
    <definedName name="_xlnm._FilterDatabase" localSheetId="0" hidden="1">Original!$A$2:$C$52</definedName>
    <definedName name="_xlnm._FilterDatabase" localSheetId="1" hidden="1">'Split 1'!$A$2:$C$52</definedName>
    <definedName name="_xlnm._FilterDatabase" localSheetId="2" hidden="1">'Split 2'!$A$2:$C$2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80" i="4" l="1"/>
  <c r="W69" i="4"/>
  <c r="W70" i="4"/>
  <c r="W71" i="4"/>
  <c r="W72" i="4"/>
  <c r="W73" i="4"/>
  <c r="W74" i="4"/>
  <c r="W75" i="4"/>
  <c r="W76" i="4"/>
  <c r="W77" i="4"/>
  <c r="W78" i="4"/>
</calcChain>
</file>

<file path=xl/sharedStrings.xml><?xml version="1.0" encoding="utf-8"?>
<sst xmlns="http://schemas.openxmlformats.org/spreadsheetml/2006/main" count="72" uniqueCount="20">
  <si>
    <t>"Original" Data
(50 Records)</t>
  </si>
  <si>
    <t>Training Set
80% (40 Records)</t>
  </si>
  <si>
    <t>Test Set
20% (10 Records)</t>
  </si>
  <si>
    <t>*Ordered for illustrative purposes. Don't forget SciKit Learn's default is to shuffle</t>
  </si>
  <si>
    <t>Age
(Feature 1)</t>
  </si>
  <si>
    <t>EstimatedSalary
(Feature 2)</t>
  </si>
  <si>
    <t>Purchased
(Target Label)</t>
  </si>
  <si>
    <t>x_train</t>
  </si>
  <si>
    <t>x_test</t>
  </si>
  <si>
    <t>y_test</t>
  </si>
  <si>
    <t>y_train</t>
  </si>
  <si>
    <t>x_train, y_train, x_test, y_test = train_test_split(X_scaled, y, test_size = 0.2, shuffle = True, random_state = 100)</t>
  </si>
  <si>
    <t>Sorted by Age Data
(50 Records)</t>
  </si>
  <si>
    <t>Age &lt; 45, Sorted by Est. Salary
( 34 Records)</t>
  </si>
  <si>
    <t>Age</t>
  </si>
  <si>
    <t>Test Set
10% (10 Records)</t>
  </si>
  <si>
    <t>% Accuracy</t>
  </si>
  <si>
    <t>Let's  Make Predictions!</t>
  </si>
  <si>
    <t>Prediction: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</si>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</sst>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color rgb="FFFF0000"/>
      <name val="Arial"/>
      <family val="2"/>
    </font>
    <font>
      <sz val="16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58CC0"/>
        <bgColor indexed="64"/>
      </patternFill>
    </fill>
    <fill>
      <patternFill patternType="solid">
        <fgColor rgb="FFD7C1D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 vertical="center"/>
    </xf>
    <xf numFmtId="0" fontId="19" fillId="0" borderId="0" xfId="0" applyFont="1"/>
    <xf numFmtId="0" fontId="0" fillId="35" borderId="10" xfId="0" applyFill="1" applyBorder="1"/>
    <xf numFmtId="0" fontId="0" fillId="36" borderId="10" xfId="0" applyFill="1" applyBorder="1"/>
    <xf numFmtId="0" fontId="0" fillId="0" borderId="0" xfId="0" applyAlignment="1">
      <alignment vertical="center"/>
    </xf>
    <xf numFmtId="0" fontId="13" fillId="34" borderId="10" xfId="0" applyFon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13" fillId="39" borderId="10" xfId="0" applyFont="1" applyFill="1" applyBorder="1" applyAlignment="1">
      <alignment horizontal="center" vertical="center" wrapText="1"/>
    </xf>
    <xf numFmtId="0" fontId="13" fillId="0" borderId="0" xfId="0" applyFont="1"/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5" borderId="13" xfId="0" applyFill="1" applyBorder="1"/>
    <xf numFmtId="0" fontId="0" fillId="35" borderId="15" xfId="0" applyFill="1" applyBorder="1"/>
    <xf numFmtId="0" fontId="0" fillId="37" borderId="15" xfId="0" applyFill="1" applyBorder="1" applyAlignment="1">
      <alignment horizontal="center"/>
    </xf>
    <xf numFmtId="0" fontId="16" fillId="37" borderId="13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16" fillId="37" borderId="15" xfId="0" applyFont="1" applyFill="1" applyBorder="1" applyAlignment="1">
      <alignment horizontal="center"/>
    </xf>
    <xf numFmtId="0" fontId="20" fillId="37" borderId="10" xfId="0" applyFont="1" applyFill="1" applyBorder="1" applyAlignment="1">
      <alignment horizontal="center"/>
    </xf>
    <xf numFmtId="0" fontId="21" fillId="0" borderId="0" xfId="0" applyFont="1"/>
    <xf numFmtId="0" fontId="0" fillId="37" borderId="14" xfId="0" applyFill="1" applyBorder="1" applyAlignment="1">
      <alignment horizontal="center"/>
    </xf>
    <xf numFmtId="0" fontId="18" fillId="0" borderId="0" xfId="0" applyFont="1" applyAlignment="1">
      <alignment vertical="center" wrapText="1"/>
    </xf>
    <xf numFmtId="2" fontId="0" fillId="0" borderId="0" xfId="0" applyNumberFormat="1"/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18" fillId="36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13" fillId="40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41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7C1DD"/>
      <color rgb="FFB58C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19050</xdr:rowOff>
    </xdr:from>
    <xdr:to>
      <xdr:col>3</xdr:col>
      <xdr:colOff>828675</xdr:colOff>
      <xdr:row>8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87FE417-043F-E2C6-CEA0-347A70E359D8}"/>
            </a:ext>
          </a:extLst>
        </xdr:cNvPr>
        <xdr:cNvCxnSpPr/>
      </xdr:nvCxnSpPr>
      <xdr:spPr>
        <a:xfrm>
          <a:off x="2828925" y="1876425"/>
          <a:ext cx="6953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8</xdr:row>
      <xdr:rowOff>9525</xdr:rowOff>
    </xdr:from>
    <xdr:to>
      <xdr:col>7</xdr:col>
      <xdr:colOff>542925</xdr:colOff>
      <xdr:row>8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0DFB440-BB71-52C2-6F22-421159F51BA7}"/>
            </a:ext>
          </a:extLst>
        </xdr:cNvPr>
        <xdr:cNvCxnSpPr/>
      </xdr:nvCxnSpPr>
      <xdr:spPr>
        <a:xfrm>
          <a:off x="6448425" y="1866900"/>
          <a:ext cx="485775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6</xdr:row>
      <xdr:rowOff>95250</xdr:rowOff>
    </xdr:from>
    <xdr:to>
      <xdr:col>7</xdr:col>
      <xdr:colOff>314325</xdr:colOff>
      <xdr:row>9</xdr:row>
      <xdr:rowOff>104775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243CEAA-21A4-AF32-B9A9-7EA607004227}"/>
            </a:ext>
          </a:extLst>
        </xdr:cNvPr>
        <xdr:cNvCxnSpPr/>
      </xdr:nvCxnSpPr>
      <xdr:spPr>
        <a:xfrm>
          <a:off x="6705600" y="1628775"/>
          <a:ext cx="0" cy="49530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19050</xdr:rowOff>
    </xdr:from>
    <xdr:to>
      <xdr:col>3</xdr:col>
      <xdr:colOff>828675</xdr:colOff>
      <xdr:row>8</xdr:row>
      <xdr:rowOff>19050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C4AF872-CC01-4DAA-AEDC-FFE3C444394A}"/>
            </a:ext>
          </a:extLst>
        </xdr:cNvPr>
        <xdr:cNvCxnSpPr/>
      </xdr:nvCxnSpPr>
      <xdr:spPr>
        <a:xfrm>
          <a:off x="2828925" y="1876425"/>
          <a:ext cx="695325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8</xdr:row>
      <xdr:rowOff>9525</xdr:rowOff>
    </xdr:from>
    <xdr:to>
      <xdr:col>7</xdr:col>
      <xdr:colOff>542925</xdr:colOff>
      <xdr:row>8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3854724-F18F-475D-AF4B-82B78F6A746C}"/>
            </a:ext>
          </a:extLst>
        </xdr:cNvPr>
        <xdr:cNvCxnSpPr/>
      </xdr:nvCxnSpPr>
      <xdr:spPr>
        <a:xfrm>
          <a:off x="6448425" y="1866900"/>
          <a:ext cx="485775" cy="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6</xdr:row>
      <xdr:rowOff>95250</xdr:rowOff>
    </xdr:from>
    <xdr:to>
      <xdr:col>7</xdr:col>
      <xdr:colOff>314325</xdr:colOff>
      <xdr:row>9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276861E-1C7E-41C5-A983-80417468193B}"/>
            </a:ext>
          </a:extLst>
        </xdr:cNvPr>
        <xdr:cNvCxnSpPr/>
      </xdr:nvCxnSpPr>
      <xdr:spPr>
        <a:xfrm>
          <a:off x="6705600" y="1628775"/>
          <a:ext cx="0" cy="49530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819150</xdr:colOff>
      <xdr:row>46</xdr:row>
      <xdr:rowOff>38100</xdr:rowOff>
    </xdr:from>
    <xdr:to>
      <xdr:col>21</xdr:col>
      <xdr:colOff>200025</xdr:colOff>
      <xdr:row>49</xdr:row>
      <xdr:rowOff>19050</xdr:rowOff>
    </xdr:to>
    <xdr:sp macro="" textlink="">
      <xdr:nvSpPr>
        <xdr:cNvPr id="6" name="Flowchart: Alternate Process 5">
          <a:extLst>
            <a:ext uri="{FF2B5EF4-FFF2-40B4-BE49-F238E27FC236}">
              <a16:creationId xmlns:a16="http://schemas.microsoft.com/office/drawing/2014/main" id="{FEE6324F-E104-1505-CCCC-DD8D1D571A51}"/>
            </a:ext>
          </a:extLst>
        </xdr:cNvPr>
        <xdr:cNvSpPr/>
      </xdr:nvSpPr>
      <xdr:spPr>
        <a:xfrm>
          <a:off x="16735425" y="8067675"/>
          <a:ext cx="1428750" cy="466725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800"/>
            <a:t>AGE</a:t>
          </a:r>
        </a:p>
      </xdr:txBody>
    </xdr:sp>
    <xdr:clientData/>
  </xdr:twoCellAnchor>
  <xdr:twoCellAnchor>
    <xdr:from>
      <xdr:col>21</xdr:col>
      <xdr:colOff>37540</xdr:colOff>
      <xdr:row>59</xdr:row>
      <xdr:rowOff>125118</xdr:rowOff>
    </xdr:from>
    <xdr:to>
      <xdr:col>22</xdr:col>
      <xdr:colOff>205628</xdr:colOff>
      <xdr:row>62</xdr:row>
      <xdr:rowOff>58615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3DA68C4D-32E4-01E4-4484-242C3756C024}"/>
            </a:ext>
          </a:extLst>
        </xdr:cNvPr>
        <xdr:cNvSpPr/>
      </xdr:nvSpPr>
      <xdr:spPr>
        <a:xfrm>
          <a:off x="18093627" y="11190683"/>
          <a:ext cx="1095740" cy="430454"/>
        </a:xfrm>
        <a:prstGeom prst="flowChartProcess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600" b="1"/>
            <a:t>Purchased = 1</a:t>
          </a:r>
        </a:p>
      </xdr:txBody>
    </xdr:sp>
    <xdr:clientData/>
  </xdr:twoCellAnchor>
  <xdr:twoCellAnchor>
    <xdr:from>
      <xdr:col>18</xdr:col>
      <xdr:colOff>437030</xdr:colOff>
      <xdr:row>53</xdr:row>
      <xdr:rowOff>19049</xdr:rowOff>
    </xdr:from>
    <xdr:to>
      <xdr:col>20</xdr:col>
      <xdr:colOff>276225</xdr:colOff>
      <xdr:row>55</xdr:row>
      <xdr:rowOff>142874</xdr:rowOff>
    </xdr:to>
    <xdr:sp macro="" textlink="">
      <xdr:nvSpPr>
        <xdr:cNvPr id="10" name="Flowchart: Alternate Process 9">
          <a:extLst>
            <a:ext uri="{FF2B5EF4-FFF2-40B4-BE49-F238E27FC236}">
              <a16:creationId xmlns:a16="http://schemas.microsoft.com/office/drawing/2014/main" id="{752CA6AE-7B49-4932-B745-FFEA972793FC}"/>
            </a:ext>
          </a:extLst>
        </xdr:cNvPr>
        <xdr:cNvSpPr/>
      </xdr:nvSpPr>
      <xdr:spPr>
        <a:xfrm>
          <a:off x="15273618" y="8950137"/>
          <a:ext cx="1800225" cy="43759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CA" sz="1800"/>
            <a:t>Estimated Salary</a:t>
          </a:r>
        </a:p>
      </xdr:txBody>
    </xdr:sp>
    <xdr:clientData/>
  </xdr:twoCellAnchor>
  <xdr:twoCellAnchor>
    <xdr:from>
      <xdr:col>20</xdr:col>
      <xdr:colOff>608501</xdr:colOff>
      <xdr:row>49</xdr:row>
      <xdr:rowOff>19049</xdr:rowOff>
    </xdr:from>
    <xdr:to>
      <xdr:col>21</xdr:col>
      <xdr:colOff>583181</xdr:colOff>
      <xdr:row>59</xdr:row>
      <xdr:rowOff>125117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664E83A-3200-9947-5299-7A1E4E36882F}"/>
            </a:ext>
          </a:extLst>
        </xdr:cNvPr>
        <xdr:cNvCxnSpPr>
          <a:stCxn id="6" idx="2"/>
          <a:endCxn id="8" idx="0"/>
        </xdr:cNvCxnSpPr>
      </xdr:nvCxnSpPr>
      <xdr:spPr>
        <a:xfrm rot="16200000" flipH="1">
          <a:off x="17134624" y="8822099"/>
          <a:ext cx="1717991" cy="1095699"/>
        </a:xfrm>
        <a:prstGeom prst="bentConnector3">
          <a:avLst>
            <a:gd name="adj1" fmla="val 18440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270148</xdr:colOff>
      <xdr:row>49</xdr:row>
      <xdr:rowOff>19051</xdr:rowOff>
    </xdr:from>
    <xdr:to>
      <xdr:col>20</xdr:col>
      <xdr:colOff>585592</xdr:colOff>
      <xdr:row>53</xdr:row>
      <xdr:rowOff>19050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7FFD1257-1D9E-FBEB-119C-73B49910D15F}"/>
            </a:ext>
          </a:extLst>
        </xdr:cNvPr>
        <xdr:cNvCxnSpPr/>
      </xdr:nvCxnSpPr>
      <xdr:spPr>
        <a:xfrm rot="5400000">
          <a:off x="16562392" y="9137850"/>
          <a:ext cx="662608" cy="1243096"/>
        </a:xfrm>
        <a:prstGeom prst="bentConnector3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814527</xdr:colOff>
      <xdr:row>49</xdr:row>
      <xdr:rowOff>40815</xdr:rowOff>
    </xdr:from>
    <xdr:ext cx="643446" cy="342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A82F793-AA41-52AB-A3FA-9C2111022B14}"/>
            </a:ext>
          </a:extLst>
        </xdr:cNvPr>
        <xdr:cNvSpPr txBox="1"/>
      </xdr:nvSpPr>
      <xdr:spPr>
        <a:xfrm>
          <a:off x="17744179" y="9449858"/>
          <a:ext cx="64344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 b="1"/>
            <a:t>&gt;= 40</a:t>
          </a:r>
        </a:p>
      </xdr:txBody>
    </xdr:sp>
    <xdr:clientData/>
  </xdr:oneCellAnchor>
  <xdr:oneCellAnchor>
    <xdr:from>
      <xdr:col>19</xdr:col>
      <xdr:colOff>667992</xdr:colOff>
      <xdr:row>49</xdr:row>
      <xdr:rowOff>41827</xdr:rowOff>
    </xdr:from>
    <xdr:ext cx="541238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F8F2CAD-15CB-403B-98A3-3EF91181D686}"/>
            </a:ext>
          </a:extLst>
        </xdr:cNvPr>
        <xdr:cNvSpPr txBox="1"/>
      </xdr:nvSpPr>
      <xdr:spPr>
        <a:xfrm>
          <a:off x="16669992" y="9450870"/>
          <a:ext cx="54123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 b="1"/>
            <a:t>&lt; 40</a:t>
          </a:r>
        </a:p>
      </xdr:txBody>
    </xdr:sp>
    <xdr:clientData/>
  </xdr:oneCellAnchor>
  <xdr:twoCellAnchor>
    <xdr:from>
      <xdr:col>17</xdr:col>
      <xdr:colOff>504266</xdr:colOff>
      <xdr:row>59</xdr:row>
      <xdr:rowOff>113181</xdr:rowOff>
    </xdr:from>
    <xdr:to>
      <xdr:col>18</xdr:col>
      <xdr:colOff>1037666</xdr:colOff>
      <xdr:row>62</xdr:row>
      <xdr:rowOff>44826</xdr:rowOff>
    </xdr:to>
    <xdr:sp macro="" textlink="">
      <xdr:nvSpPr>
        <xdr:cNvPr id="19" name="Flowchart: Process 18">
          <a:extLst>
            <a:ext uri="{FF2B5EF4-FFF2-40B4-BE49-F238E27FC236}">
              <a16:creationId xmlns:a16="http://schemas.microsoft.com/office/drawing/2014/main" id="{F6DB4A10-D58A-4EBD-9F3C-2B33F95A8ACA}"/>
            </a:ext>
          </a:extLst>
        </xdr:cNvPr>
        <xdr:cNvSpPr/>
      </xdr:nvSpPr>
      <xdr:spPr>
        <a:xfrm>
          <a:off x="14433178" y="9985563"/>
          <a:ext cx="1441076" cy="402292"/>
        </a:xfrm>
        <a:prstGeom prst="flowChartProcess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tIns="18288" bIns="18288" rtlCol="0" anchor="ctr"/>
        <a:lstStyle/>
        <a:p>
          <a:pPr algn="ctr">
            <a:spcBef>
              <a:spcPts val="0"/>
            </a:spcBef>
          </a:pPr>
          <a:r>
            <a:rPr lang="en-CA" sz="1600"/>
            <a:t>Not Purchased</a:t>
          </a:r>
        </a:p>
      </xdr:txBody>
    </xdr:sp>
    <xdr:clientData/>
  </xdr:twoCellAnchor>
  <xdr:twoCellAnchor>
    <xdr:from>
      <xdr:col>19</xdr:col>
      <xdr:colOff>571500</xdr:colOff>
      <xdr:row>59</xdr:row>
      <xdr:rowOff>114300</xdr:rowOff>
    </xdr:from>
    <xdr:to>
      <xdr:col>20</xdr:col>
      <xdr:colOff>742950</xdr:colOff>
      <xdr:row>62</xdr:row>
      <xdr:rowOff>47625</xdr:rowOff>
    </xdr:to>
    <xdr:sp macro="" textlink="">
      <xdr:nvSpPr>
        <xdr:cNvPr id="20" name="Flowchart: Process 19">
          <a:extLst>
            <a:ext uri="{FF2B5EF4-FFF2-40B4-BE49-F238E27FC236}">
              <a16:creationId xmlns:a16="http://schemas.microsoft.com/office/drawing/2014/main" id="{1A91EBC0-C5AD-4143-97E1-033A3BF9D497}"/>
            </a:ext>
          </a:extLst>
        </xdr:cNvPr>
        <xdr:cNvSpPr/>
      </xdr:nvSpPr>
      <xdr:spPr>
        <a:xfrm>
          <a:off x="16485577" y="10218127"/>
          <a:ext cx="1094642" cy="416902"/>
        </a:xfrm>
        <a:prstGeom prst="flowChartProcess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CA" sz="1600" b="1"/>
            <a:t>Purchased</a:t>
          </a:r>
        </a:p>
      </xdr:txBody>
    </xdr:sp>
    <xdr:clientData/>
  </xdr:twoCellAnchor>
  <xdr:twoCellAnchor>
    <xdr:from>
      <xdr:col>18</xdr:col>
      <xdr:colOff>317128</xdr:colOff>
      <xdr:row>55</xdr:row>
      <xdr:rowOff>142875</xdr:rowOff>
    </xdr:from>
    <xdr:to>
      <xdr:col>19</xdr:col>
      <xdr:colOff>294996</xdr:colOff>
      <xdr:row>59</xdr:row>
      <xdr:rowOff>113182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852CB96B-2E71-4A47-8A63-04A2FB45A4AA}"/>
            </a:ext>
          </a:extLst>
        </xdr:cNvPr>
        <xdr:cNvCxnSpPr>
          <a:stCxn id="10" idx="2"/>
          <a:endCxn id="19" idx="0"/>
        </xdr:cNvCxnSpPr>
      </xdr:nvCxnSpPr>
      <xdr:spPr>
        <a:xfrm rot="5400000">
          <a:off x="15364806" y="9176638"/>
          <a:ext cx="597836" cy="1020015"/>
        </a:xfrm>
        <a:prstGeom prst="bentConnector3">
          <a:avLst>
            <a:gd name="adj1" fmla="val 50000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294996</xdr:colOff>
      <xdr:row>55</xdr:row>
      <xdr:rowOff>142873</xdr:rowOff>
    </xdr:from>
    <xdr:to>
      <xdr:col>20</xdr:col>
      <xdr:colOff>197784</xdr:colOff>
      <xdr:row>59</xdr:row>
      <xdr:rowOff>114299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6C116C42-8D3E-42DE-BCBD-F367F8DB4441}"/>
            </a:ext>
          </a:extLst>
        </xdr:cNvPr>
        <xdr:cNvCxnSpPr>
          <a:stCxn id="10" idx="2"/>
          <a:endCxn id="20" idx="0"/>
        </xdr:cNvCxnSpPr>
      </xdr:nvCxnSpPr>
      <xdr:spPr>
        <a:xfrm rot="16200000" flipH="1">
          <a:off x="16285089" y="9276368"/>
          <a:ext cx="598955" cy="821671"/>
        </a:xfrm>
        <a:prstGeom prst="bentConnector3">
          <a:avLst>
            <a:gd name="adj1" fmla="val 50000"/>
          </a:avLst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303581</xdr:colOff>
      <xdr:row>55</xdr:row>
      <xdr:rowOff>133764</xdr:rowOff>
    </xdr:from>
    <xdr:ext cx="853247" cy="34278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092D891-7930-4C0B-81C1-E338E7BDC3A9}"/>
            </a:ext>
          </a:extLst>
        </xdr:cNvPr>
        <xdr:cNvSpPr txBox="1"/>
      </xdr:nvSpPr>
      <xdr:spPr>
        <a:xfrm>
          <a:off x="15270255" y="10536721"/>
          <a:ext cx="85324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 b="1"/>
            <a:t>&lt; 87500</a:t>
          </a:r>
        </a:p>
      </xdr:txBody>
    </xdr:sp>
    <xdr:clientData/>
  </xdr:oneCellAnchor>
  <xdr:oneCellAnchor>
    <xdr:from>
      <xdr:col>19</xdr:col>
      <xdr:colOff>436493</xdr:colOff>
      <xdr:row>55</xdr:row>
      <xdr:rowOff>165336</xdr:rowOff>
    </xdr:from>
    <xdr:ext cx="955454" cy="34278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0E29905-FCBA-4762-B11B-D0B5B8C887A4}"/>
            </a:ext>
          </a:extLst>
        </xdr:cNvPr>
        <xdr:cNvSpPr txBox="1"/>
      </xdr:nvSpPr>
      <xdr:spPr>
        <a:xfrm>
          <a:off x="16438493" y="10568293"/>
          <a:ext cx="95545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 b="1"/>
            <a:t>&gt;= 87500</a:t>
          </a:r>
        </a:p>
      </xdr:txBody>
    </xdr:sp>
    <xdr:clientData/>
  </xdr:oneCellAnchor>
  <xdr:twoCellAnchor>
    <xdr:from>
      <xdr:col>23</xdr:col>
      <xdr:colOff>212481</xdr:colOff>
      <xdr:row>51</xdr:row>
      <xdr:rowOff>139212</xdr:rowOff>
    </xdr:from>
    <xdr:to>
      <xdr:col>23</xdr:col>
      <xdr:colOff>227135</xdr:colOff>
      <xdr:row>62</xdr:row>
      <xdr:rowOff>153865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62D3610-9A6D-9AE5-A580-6D8648F8C4C0}"/>
            </a:ext>
          </a:extLst>
        </xdr:cNvPr>
        <xdr:cNvCxnSpPr/>
      </xdr:nvCxnSpPr>
      <xdr:spPr>
        <a:xfrm>
          <a:off x="19702096" y="8953500"/>
          <a:ext cx="14654" cy="17877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307731</xdr:colOff>
      <xdr:row>63</xdr:row>
      <xdr:rowOff>0</xdr:rowOff>
    </xdr:from>
    <xdr:to>
      <xdr:col>25</xdr:col>
      <xdr:colOff>468923</xdr:colOff>
      <xdr:row>63</xdr:row>
      <xdr:rowOff>36635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732EB91-411B-0E04-DD2C-458717D2B9B8}"/>
            </a:ext>
          </a:extLst>
        </xdr:cNvPr>
        <xdr:cNvCxnSpPr/>
      </xdr:nvCxnSpPr>
      <xdr:spPr>
        <a:xfrm>
          <a:off x="19797346" y="10748596"/>
          <a:ext cx="1934308" cy="366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586154</xdr:colOff>
      <xdr:row>58</xdr:row>
      <xdr:rowOff>7327</xdr:rowOff>
    </xdr:from>
    <xdr:to>
      <xdr:col>23</xdr:col>
      <xdr:colOff>631873</xdr:colOff>
      <xdr:row>58</xdr:row>
      <xdr:rowOff>102577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8332639E-AB62-427B-34E0-CAF447AD6C1C}"/>
            </a:ext>
          </a:extLst>
        </xdr:cNvPr>
        <xdr:cNvSpPr/>
      </xdr:nvSpPr>
      <xdr:spPr>
        <a:xfrm>
          <a:off x="20075769" y="9949962"/>
          <a:ext cx="45719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0</xdr:colOff>
      <xdr:row>60</xdr:row>
      <xdr:rowOff>0</xdr:rowOff>
    </xdr:from>
    <xdr:to>
      <xdr:col>24</xdr:col>
      <xdr:colOff>45719</xdr:colOff>
      <xdr:row>60</xdr:row>
      <xdr:rowOff>95250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CED5DE8A-40E2-4835-B4F0-616622444F51}"/>
            </a:ext>
          </a:extLst>
        </xdr:cNvPr>
        <xdr:cNvSpPr/>
      </xdr:nvSpPr>
      <xdr:spPr>
        <a:xfrm>
          <a:off x="20207654" y="10265019"/>
          <a:ext cx="45719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23</xdr:col>
      <xdr:colOff>542192</xdr:colOff>
      <xdr:row>60</xdr:row>
      <xdr:rowOff>29307</xdr:rowOff>
    </xdr:from>
    <xdr:to>
      <xdr:col>23</xdr:col>
      <xdr:colOff>587911</xdr:colOff>
      <xdr:row>60</xdr:row>
      <xdr:rowOff>124557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22A6E70-F080-4C49-B0FF-4CB107C7829F}"/>
            </a:ext>
          </a:extLst>
        </xdr:cNvPr>
        <xdr:cNvSpPr/>
      </xdr:nvSpPr>
      <xdr:spPr>
        <a:xfrm>
          <a:off x="20031807" y="10294326"/>
          <a:ext cx="45719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298938</xdr:colOff>
      <xdr:row>58</xdr:row>
      <xdr:rowOff>71803</xdr:rowOff>
    </xdr:from>
    <xdr:to>
      <xdr:col>24</xdr:col>
      <xdr:colOff>344657</xdr:colOff>
      <xdr:row>59</xdr:row>
      <xdr:rowOff>5861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D4D8A6D4-4766-4EE6-8E45-C940C779ABCD}"/>
            </a:ext>
          </a:extLst>
        </xdr:cNvPr>
        <xdr:cNvSpPr/>
      </xdr:nvSpPr>
      <xdr:spPr>
        <a:xfrm>
          <a:off x="20506592" y="10014438"/>
          <a:ext cx="45719" cy="952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810357</xdr:colOff>
      <xdr:row>56</xdr:row>
      <xdr:rowOff>77665</xdr:rowOff>
    </xdr:from>
    <xdr:to>
      <xdr:col>24</xdr:col>
      <xdr:colOff>856076</xdr:colOff>
      <xdr:row>57</xdr:row>
      <xdr:rowOff>11723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E1ED1974-B9A1-4653-9647-4BA36CD2FC10}"/>
            </a:ext>
          </a:extLst>
        </xdr:cNvPr>
        <xdr:cNvSpPr/>
      </xdr:nvSpPr>
      <xdr:spPr>
        <a:xfrm>
          <a:off x="21018011" y="9697915"/>
          <a:ext cx="45719" cy="9525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813288</xdr:colOff>
      <xdr:row>58</xdr:row>
      <xdr:rowOff>139211</xdr:rowOff>
    </xdr:from>
    <xdr:to>
      <xdr:col>24</xdr:col>
      <xdr:colOff>859007</xdr:colOff>
      <xdr:row>59</xdr:row>
      <xdr:rowOff>73269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34A015AA-C110-4877-8A83-0330F4543762}"/>
            </a:ext>
          </a:extLst>
        </xdr:cNvPr>
        <xdr:cNvSpPr/>
      </xdr:nvSpPr>
      <xdr:spPr>
        <a:xfrm>
          <a:off x="21020942" y="10081846"/>
          <a:ext cx="45719" cy="9525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709245</xdr:colOff>
      <xdr:row>53</xdr:row>
      <xdr:rowOff>152400</xdr:rowOff>
    </xdr:from>
    <xdr:to>
      <xdr:col>24</xdr:col>
      <xdr:colOff>754964</xdr:colOff>
      <xdr:row>54</xdr:row>
      <xdr:rowOff>86458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7E380310-5B24-42C9-B3E9-654040C41E06}"/>
            </a:ext>
          </a:extLst>
        </xdr:cNvPr>
        <xdr:cNvSpPr/>
      </xdr:nvSpPr>
      <xdr:spPr>
        <a:xfrm>
          <a:off x="20916899" y="9289073"/>
          <a:ext cx="45719" cy="9525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334107</xdr:colOff>
      <xdr:row>55</xdr:row>
      <xdr:rowOff>106973</xdr:rowOff>
    </xdr:from>
    <xdr:to>
      <xdr:col>24</xdr:col>
      <xdr:colOff>379826</xdr:colOff>
      <xdr:row>56</xdr:row>
      <xdr:rowOff>41031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A919A25C-A8E6-40CD-B2A2-FCA31218AD82}"/>
            </a:ext>
          </a:extLst>
        </xdr:cNvPr>
        <xdr:cNvSpPr/>
      </xdr:nvSpPr>
      <xdr:spPr>
        <a:xfrm>
          <a:off x="20541761" y="9566031"/>
          <a:ext cx="45719" cy="9525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24</xdr:col>
      <xdr:colOff>604630</xdr:colOff>
      <xdr:row>52</xdr:row>
      <xdr:rowOff>92701</xdr:rowOff>
    </xdr:from>
    <xdr:to>
      <xdr:col>24</xdr:col>
      <xdr:colOff>641264</xdr:colOff>
      <xdr:row>63</xdr:row>
      <xdr:rowOff>22299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9689B50-5E5A-FC9A-D592-479300331ACE}"/>
            </a:ext>
          </a:extLst>
        </xdr:cNvPr>
        <xdr:cNvCxnSpPr/>
      </xdr:nvCxnSpPr>
      <xdr:spPr>
        <a:xfrm>
          <a:off x="20913587" y="9998701"/>
          <a:ext cx="36634" cy="175177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237328</xdr:colOff>
      <xdr:row>56</xdr:row>
      <xdr:rowOff>152591</xdr:rowOff>
    </xdr:from>
    <xdr:to>
      <xdr:col>24</xdr:col>
      <xdr:colOff>603674</xdr:colOff>
      <xdr:row>56</xdr:row>
      <xdr:rowOff>152591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DC92204-3F61-EB41-7408-BC57BC43C4F5}"/>
            </a:ext>
          </a:extLst>
        </xdr:cNvPr>
        <xdr:cNvCxnSpPr/>
      </xdr:nvCxnSpPr>
      <xdr:spPr>
        <a:xfrm>
          <a:off x="19833980" y="10721200"/>
          <a:ext cx="10786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692554</xdr:colOff>
      <xdr:row>56</xdr:row>
      <xdr:rowOff>130291</xdr:rowOff>
    </xdr:from>
    <xdr:to>
      <xdr:col>25</xdr:col>
      <xdr:colOff>795131</xdr:colOff>
      <xdr:row>57</xdr:row>
      <xdr:rowOff>64349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CEBD8D7D-A3BD-97D8-354D-E29F88EBB3D9}"/>
            </a:ext>
          </a:extLst>
        </xdr:cNvPr>
        <xdr:cNvSpPr/>
      </xdr:nvSpPr>
      <xdr:spPr>
        <a:xfrm>
          <a:off x="22061684" y="10698900"/>
          <a:ext cx="102577" cy="99710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workbookViewId="0">
      <selection activeCell="F24" sqref="F24"/>
    </sheetView>
  </sheetViews>
  <sheetFormatPr defaultRowHeight="12.75" x14ac:dyDescent="0.2"/>
  <cols>
    <col min="1" max="1" width="10.7109375" bestFit="1" customWidth="1"/>
    <col min="2" max="2" width="15.85546875" bestFit="1" customWidth="1"/>
    <col min="3" max="3" width="13.85546875" bestFit="1" customWidth="1"/>
    <col min="5" max="5" width="4.5703125" bestFit="1" customWidth="1"/>
    <col min="6" max="6" width="15.85546875" bestFit="1" customWidth="1"/>
    <col min="7" max="7" width="10.5703125" bestFit="1" customWidth="1"/>
    <col min="9" max="9" width="4.5703125" bestFit="1" customWidth="1"/>
    <col min="10" max="10" width="15.85546875" bestFit="1" customWidth="1"/>
    <col min="11" max="11" width="10.5703125" bestFit="1" customWidth="1"/>
  </cols>
  <sheetData>
    <row r="1" spans="1:11" ht="39.950000000000003" customHeight="1" x14ac:dyDescent="0.2">
      <c r="A1" s="30" t="s">
        <v>0</v>
      </c>
      <c r="B1" s="31"/>
      <c r="C1" s="31"/>
      <c r="E1" s="13"/>
      <c r="F1" s="14"/>
      <c r="G1" s="14"/>
      <c r="I1" s="13"/>
      <c r="J1" s="14"/>
      <c r="K1" s="14"/>
    </row>
    <row r="2" spans="1:11" ht="30" customHeight="1" x14ac:dyDescent="0.2">
      <c r="A2" s="6" t="s">
        <v>4</v>
      </c>
      <c r="B2" s="6" t="s">
        <v>5</v>
      </c>
      <c r="C2" s="11" t="s">
        <v>6</v>
      </c>
      <c r="E2" s="12"/>
      <c r="F2" s="12"/>
      <c r="G2" s="12"/>
      <c r="I2" s="12"/>
      <c r="J2" s="12"/>
      <c r="K2" s="12"/>
    </row>
    <row r="3" spans="1:11" x14ac:dyDescent="0.2">
      <c r="A3" s="15">
        <v>19</v>
      </c>
      <c r="B3" s="15">
        <v>19000</v>
      </c>
      <c r="C3" s="40">
        <v>0</v>
      </c>
    </row>
    <row r="4" spans="1:11" x14ac:dyDescent="0.2">
      <c r="A4" s="15">
        <v>35</v>
      </c>
      <c r="B4" s="15">
        <v>20000</v>
      </c>
      <c r="C4" s="40">
        <v>0</v>
      </c>
    </row>
    <row r="5" spans="1:11" x14ac:dyDescent="0.2">
      <c r="A5" s="15">
        <v>26</v>
      </c>
      <c r="B5" s="15">
        <v>43000</v>
      </c>
      <c r="C5" s="40">
        <v>0</v>
      </c>
    </row>
    <row r="6" spans="1:11" x14ac:dyDescent="0.2">
      <c r="A6" s="15">
        <v>27</v>
      </c>
      <c r="B6" s="15">
        <v>57000</v>
      </c>
      <c r="C6" s="40">
        <v>0</v>
      </c>
    </row>
    <row r="7" spans="1:11" x14ac:dyDescent="0.2">
      <c r="A7" s="15">
        <v>19</v>
      </c>
      <c r="B7" s="15">
        <v>76000</v>
      </c>
      <c r="C7" s="40">
        <v>0</v>
      </c>
    </row>
    <row r="8" spans="1:11" x14ac:dyDescent="0.2">
      <c r="A8" s="15">
        <v>27</v>
      </c>
      <c r="B8" s="15">
        <v>58000</v>
      </c>
      <c r="C8" s="40">
        <v>0</v>
      </c>
    </row>
    <row r="9" spans="1:11" x14ac:dyDescent="0.2">
      <c r="A9" s="15">
        <v>27</v>
      </c>
      <c r="B9" s="15">
        <v>84000</v>
      </c>
      <c r="C9" s="40">
        <v>0</v>
      </c>
    </row>
    <row r="10" spans="1:11" x14ac:dyDescent="0.2">
      <c r="A10" s="15">
        <v>32</v>
      </c>
      <c r="B10" s="15">
        <v>150000</v>
      </c>
      <c r="C10" s="40">
        <v>1</v>
      </c>
    </row>
    <row r="11" spans="1:11" x14ac:dyDescent="0.2">
      <c r="A11" s="15">
        <v>25</v>
      </c>
      <c r="B11" s="15">
        <v>33000</v>
      </c>
      <c r="C11" s="40">
        <v>0</v>
      </c>
    </row>
    <row r="12" spans="1:11" x14ac:dyDescent="0.2">
      <c r="A12" s="15">
        <v>35</v>
      </c>
      <c r="B12" s="15">
        <v>65000</v>
      </c>
      <c r="C12" s="40">
        <v>0</v>
      </c>
    </row>
    <row r="13" spans="1:11" x14ac:dyDescent="0.2">
      <c r="A13" s="15">
        <v>26</v>
      </c>
      <c r="B13" s="15">
        <v>80000</v>
      </c>
      <c r="C13" s="40">
        <v>0</v>
      </c>
    </row>
    <row r="14" spans="1:11" x14ac:dyDescent="0.2">
      <c r="A14" s="15">
        <v>26</v>
      </c>
      <c r="B14" s="15">
        <v>52000</v>
      </c>
      <c r="C14" s="40">
        <v>0</v>
      </c>
    </row>
    <row r="15" spans="1:11" x14ac:dyDescent="0.2">
      <c r="A15" s="15">
        <v>20</v>
      </c>
      <c r="B15" s="15">
        <v>86000</v>
      </c>
      <c r="C15" s="40">
        <v>0</v>
      </c>
    </row>
    <row r="16" spans="1:11" x14ac:dyDescent="0.2">
      <c r="A16" s="15">
        <v>32</v>
      </c>
      <c r="B16" s="15">
        <v>18000</v>
      </c>
      <c r="C16" s="40">
        <v>0</v>
      </c>
    </row>
    <row r="17" spans="1:3" x14ac:dyDescent="0.2">
      <c r="A17" s="15">
        <v>18</v>
      </c>
      <c r="B17" s="15">
        <v>82000</v>
      </c>
      <c r="C17" s="40">
        <v>0</v>
      </c>
    </row>
    <row r="18" spans="1:3" x14ac:dyDescent="0.2">
      <c r="A18" s="15">
        <v>29</v>
      </c>
      <c r="B18" s="15">
        <v>80000</v>
      </c>
      <c r="C18" s="40">
        <v>0</v>
      </c>
    </row>
    <row r="19" spans="1:3" x14ac:dyDescent="0.2">
      <c r="A19" s="15">
        <v>47</v>
      </c>
      <c r="B19" s="15">
        <v>25000</v>
      </c>
      <c r="C19" s="40">
        <v>1</v>
      </c>
    </row>
    <row r="20" spans="1:3" x14ac:dyDescent="0.2">
      <c r="A20" s="15">
        <v>45</v>
      </c>
      <c r="B20" s="15">
        <v>26000</v>
      </c>
      <c r="C20" s="40">
        <v>1</v>
      </c>
    </row>
    <row r="21" spans="1:3" x14ac:dyDescent="0.2">
      <c r="A21" s="15">
        <v>46</v>
      </c>
      <c r="B21" s="15">
        <v>28000</v>
      </c>
      <c r="C21" s="40">
        <v>1</v>
      </c>
    </row>
    <row r="22" spans="1:3" x14ac:dyDescent="0.2">
      <c r="A22" s="15">
        <v>48</v>
      </c>
      <c r="B22" s="15">
        <v>29000</v>
      </c>
      <c r="C22" s="40">
        <v>1</v>
      </c>
    </row>
    <row r="23" spans="1:3" x14ac:dyDescent="0.2">
      <c r="A23" s="15">
        <v>45</v>
      </c>
      <c r="B23" s="15">
        <v>22000</v>
      </c>
      <c r="C23" s="40">
        <v>1</v>
      </c>
    </row>
    <row r="24" spans="1:3" x14ac:dyDescent="0.2">
      <c r="A24" s="15">
        <v>47</v>
      </c>
      <c r="B24" s="15">
        <v>49000</v>
      </c>
      <c r="C24" s="40">
        <v>1</v>
      </c>
    </row>
    <row r="25" spans="1:3" x14ac:dyDescent="0.2">
      <c r="A25" s="15">
        <v>48</v>
      </c>
      <c r="B25" s="15">
        <v>41000</v>
      </c>
      <c r="C25" s="40">
        <v>1</v>
      </c>
    </row>
    <row r="26" spans="1:3" x14ac:dyDescent="0.2">
      <c r="A26" s="15">
        <v>45</v>
      </c>
      <c r="B26" s="15">
        <v>22000</v>
      </c>
      <c r="C26" s="40">
        <v>1</v>
      </c>
    </row>
    <row r="27" spans="1:3" x14ac:dyDescent="0.2">
      <c r="A27" s="15">
        <v>46</v>
      </c>
      <c r="B27" s="15">
        <v>23000</v>
      </c>
      <c r="C27" s="40">
        <v>1</v>
      </c>
    </row>
    <row r="28" spans="1:3" x14ac:dyDescent="0.2">
      <c r="A28" s="15">
        <v>29</v>
      </c>
      <c r="B28" s="15">
        <v>43000</v>
      </c>
      <c r="C28" s="40">
        <v>0</v>
      </c>
    </row>
    <row r="29" spans="1:3" x14ac:dyDescent="0.2">
      <c r="A29" s="15">
        <v>31</v>
      </c>
      <c r="B29" s="15">
        <v>18000</v>
      </c>
      <c r="C29" s="40">
        <v>0</v>
      </c>
    </row>
    <row r="30" spans="1:3" x14ac:dyDescent="0.2">
      <c r="A30" s="15">
        <v>31</v>
      </c>
      <c r="B30" s="15">
        <v>74000</v>
      </c>
      <c r="C30" s="40">
        <v>0</v>
      </c>
    </row>
    <row r="31" spans="1:3" x14ac:dyDescent="0.2">
      <c r="A31" s="15">
        <v>21</v>
      </c>
      <c r="B31" s="15">
        <v>16000</v>
      </c>
      <c r="C31" s="40">
        <v>0</v>
      </c>
    </row>
    <row r="32" spans="1:3" x14ac:dyDescent="0.2">
      <c r="A32" s="15">
        <v>28</v>
      </c>
      <c r="B32" s="15">
        <v>44000</v>
      </c>
      <c r="C32" s="40">
        <v>0</v>
      </c>
    </row>
    <row r="33" spans="1:3" x14ac:dyDescent="0.2">
      <c r="A33" s="15">
        <v>27</v>
      </c>
      <c r="B33" s="15">
        <v>90000</v>
      </c>
      <c r="C33" s="40">
        <v>1</v>
      </c>
    </row>
    <row r="34" spans="1:3" x14ac:dyDescent="0.2">
      <c r="A34" s="15">
        <v>35</v>
      </c>
      <c r="B34" s="15">
        <v>27000</v>
      </c>
      <c r="C34" s="40">
        <v>0</v>
      </c>
    </row>
    <row r="35" spans="1:3" x14ac:dyDescent="0.2">
      <c r="A35" s="15">
        <v>33</v>
      </c>
      <c r="B35" s="15">
        <v>28000</v>
      </c>
      <c r="C35" s="40">
        <v>0</v>
      </c>
    </row>
    <row r="36" spans="1:3" x14ac:dyDescent="0.2">
      <c r="A36" s="15">
        <v>30</v>
      </c>
      <c r="B36" s="15">
        <v>49000</v>
      </c>
      <c r="C36" s="40">
        <v>0</v>
      </c>
    </row>
    <row r="37" spans="1:3" x14ac:dyDescent="0.2">
      <c r="A37" s="15">
        <v>26</v>
      </c>
      <c r="B37" s="15">
        <v>72000</v>
      </c>
      <c r="C37" s="40">
        <v>0</v>
      </c>
    </row>
    <row r="38" spans="1:3" x14ac:dyDescent="0.2">
      <c r="A38" s="15">
        <v>27</v>
      </c>
      <c r="B38" s="15">
        <v>31000</v>
      </c>
      <c r="C38" s="40">
        <v>0</v>
      </c>
    </row>
    <row r="39" spans="1:3" x14ac:dyDescent="0.2">
      <c r="A39" s="15">
        <v>27</v>
      </c>
      <c r="B39" s="15">
        <v>17000</v>
      </c>
      <c r="C39" s="40">
        <v>0</v>
      </c>
    </row>
    <row r="40" spans="1:3" x14ac:dyDescent="0.2">
      <c r="A40" s="15">
        <v>33</v>
      </c>
      <c r="B40" s="15">
        <v>51000</v>
      </c>
      <c r="C40" s="40">
        <v>0</v>
      </c>
    </row>
    <row r="41" spans="1:3" x14ac:dyDescent="0.2">
      <c r="A41" s="15">
        <v>35</v>
      </c>
      <c r="B41" s="15">
        <v>108000</v>
      </c>
      <c r="C41" s="40">
        <v>0</v>
      </c>
    </row>
    <row r="42" spans="1:3" x14ac:dyDescent="0.2">
      <c r="A42" s="15">
        <v>30</v>
      </c>
      <c r="B42" s="15">
        <v>15000</v>
      </c>
      <c r="C42" s="40">
        <v>0</v>
      </c>
    </row>
    <row r="43" spans="1:3" x14ac:dyDescent="0.2">
      <c r="A43" s="15">
        <v>28</v>
      </c>
      <c r="B43" s="15">
        <v>84000</v>
      </c>
      <c r="C43" s="40">
        <v>0</v>
      </c>
    </row>
    <row r="44" spans="1:3" x14ac:dyDescent="0.2">
      <c r="A44" s="15">
        <v>23</v>
      </c>
      <c r="B44" s="15">
        <v>20000</v>
      </c>
      <c r="C44" s="40">
        <v>0</v>
      </c>
    </row>
    <row r="45" spans="1:3" x14ac:dyDescent="0.2">
      <c r="A45" s="15">
        <v>25</v>
      </c>
      <c r="B45" s="15">
        <v>79000</v>
      </c>
      <c r="C45" s="40">
        <v>0</v>
      </c>
    </row>
    <row r="46" spans="1:3" x14ac:dyDescent="0.2">
      <c r="A46" s="15">
        <v>27</v>
      </c>
      <c r="B46" s="15">
        <v>54000</v>
      </c>
      <c r="C46" s="40">
        <v>0</v>
      </c>
    </row>
    <row r="47" spans="1:3" x14ac:dyDescent="0.2">
      <c r="A47" s="15">
        <v>31</v>
      </c>
      <c r="B47" s="15">
        <v>89000</v>
      </c>
      <c r="C47" s="40">
        <v>1</v>
      </c>
    </row>
    <row r="48" spans="1:3" x14ac:dyDescent="0.2">
      <c r="A48" s="15">
        <v>24</v>
      </c>
      <c r="B48" s="15">
        <v>32000</v>
      </c>
      <c r="C48" s="40">
        <v>0</v>
      </c>
    </row>
    <row r="49" spans="1:3" x14ac:dyDescent="0.2">
      <c r="A49" s="15">
        <v>18</v>
      </c>
      <c r="B49" s="15">
        <v>44000</v>
      </c>
      <c r="C49" s="40">
        <v>0</v>
      </c>
    </row>
    <row r="50" spans="1:3" x14ac:dyDescent="0.2">
      <c r="A50" s="15">
        <v>29</v>
      </c>
      <c r="B50" s="15">
        <v>83000</v>
      </c>
      <c r="C50" s="40">
        <v>0</v>
      </c>
    </row>
    <row r="51" spans="1:3" x14ac:dyDescent="0.2">
      <c r="A51" s="15">
        <v>35</v>
      </c>
      <c r="B51" s="15">
        <v>23000</v>
      </c>
      <c r="C51" s="40">
        <v>0</v>
      </c>
    </row>
    <row r="52" spans="1:3" x14ac:dyDescent="0.2">
      <c r="A52" s="15">
        <v>27</v>
      </c>
      <c r="B52" s="15">
        <v>58000</v>
      </c>
      <c r="C52" s="41">
        <v>0</v>
      </c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workbookViewId="0">
      <selection activeCell="A33" sqref="A33:C40"/>
    </sheetView>
  </sheetViews>
  <sheetFormatPr defaultRowHeight="12.75" x14ac:dyDescent="0.2"/>
  <cols>
    <col min="1" max="1" width="10.7109375" bestFit="1" customWidth="1"/>
    <col min="2" max="2" width="15.85546875" bestFit="1" customWidth="1"/>
    <col min="3" max="3" width="13.85546875" bestFit="1" customWidth="1"/>
    <col min="4" max="4" width="13.42578125" customWidth="1"/>
    <col min="5" max="5" width="12.28515625" customWidth="1"/>
    <col min="6" max="6" width="15.85546875" bestFit="1" customWidth="1"/>
    <col min="7" max="7" width="13.85546875" bestFit="1" customWidth="1"/>
    <col min="9" max="9" width="10.7109375" bestFit="1" customWidth="1"/>
    <col min="10" max="10" width="15.85546875" bestFit="1" customWidth="1"/>
    <col min="11" max="11" width="13.85546875" bestFit="1" customWidth="1"/>
  </cols>
  <sheetData>
    <row r="1" spans="1:11" ht="39.950000000000003" customHeight="1" x14ac:dyDescent="0.25">
      <c r="A1" s="30" t="s">
        <v>0</v>
      </c>
      <c r="B1" s="31"/>
      <c r="C1" s="31"/>
      <c r="D1" s="2"/>
      <c r="E1" s="32" t="s">
        <v>1</v>
      </c>
      <c r="F1" s="33"/>
      <c r="G1" s="33"/>
      <c r="H1" s="2"/>
      <c r="I1" s="34" t="s">
        <v>2</v>
      </c>
      <c r="J1" s="35"/>
      <c r="K1" s="35"/>
    </row>
    <row r="2" spans="1:11" ht="30" customHeight="1" x14ac:dyDescent="0.2">
      <c r="A2" s="6" t="s">
        <v>4</v>
      </c>
      <c r="B2" s="6" t="s">
        <v>5</v>
      </c>
      <c r="C2" s="11" t="s">
        <v>6</v>
      </c>
      <c r="D2" s="1"/>
      <c r="E2" s="6" t="s">
        <v>4</v>
      </c>
      <c r="F2" s="6" t="s">
        <v>5</v>
      </c>
      <c r="G2" s="11" t="s">
        <v>6</v>
      </c>
      <c r="H2" s="1"/>
      <c r="I2" s="6" t="s">
        <v>4</v>
      </c>
      <c r="J2" s="6" t="s">
        <v>5</v>
      </c>
      <c r="K2" s="11" t="s">
        <v>6</v>
      </c>
    </row>
    <row r="3" spans="1:11" x14ac:dyDescent="0.2">
      <c r="A3" s="3">
        <v>19</v>
      </c>
      <c r="B3" s="3">
        <v>19000</v>
      </c>
      <c r="C3" s="3">
        <v>0</v>
      </c>
    </row>
    <row r="4" spans="1:11" x14ac:dyDescent="0.2">
      <c r="A4" s="3">
        <v>35</v>
      </c>
      <c r="B4" s="3">
        <v>20000</v>
      </c>
      <c r="C4" s="3">
        <v>0</v>
      </c>
    </row>
    <row r="5" spans="1:11" x14ac:dyDescent="0.2">
      <c r="A5" s="3">
        <v>26</v>
      </c>
      <c r="B5" s="3">
        <v>43000</v>
      </c>
      <c r="C5" s="3">
        <v>0</v>
      </c>
    </row>
    <row r="6" spans="1:11" x14ac:dyDescent="0.2">
      <c r="A6" s="3">
        <v>27</v>
      </c>
      <c r="B6" s="3">
        <v>57000</v>
      </c>
      <c r="C6" s="3">
        <v>0</v>
      </c>
    </row>
    <row r="7" spans="1:11" x14ac:dyDescent="0.2">
      <c r="A7" s="3">
        <v>19</v>
      </c>
      <c r="B7" s="3">
        <v>76000</v>
      </c>
      <c r="C7" s="3">
        <v>0</v>
      </c>
    </row>
    <row r="8" spans="1:11" x14ac:dyDescent="0.2">
      <c r="A8" s="3">
        <v>27</v>
      </c>
      <c r="B8" s="3">
        <v>58000</v>
      </c>
      <c r="C8" s="3">
        <v>0</v>
      </c>
    </row>
    <row r="9" spans="1:11" x14ac:dyDescent="0.2">
      <c r="A9" s="3">
        <v>27</v>
      </c>
      <c r="B9" s="3">
        <v>84000</v>
      </c>
      <c r="C9" s="3">
        <v>0</v>
      </c>
    </row>
    <row r="10" spans="1:11" x14ac:dyDescent="0.2">
      <c r="A10" s="4">
        <v>32</v>
      </c>
      <c r="B10" s="4">
        <v>150000</v>
      </c>
      <c r="C10" s="4">
        <v>1</v>
      </c>
    </row>
    <row r="11" spans="1:11" x14ac:dyDescent="0.2">
      <c r="A11" s="3">
        <v>25</v>
      </c>
      <c r="B11" s="3">
        <v>33000</v>
      </c>
      <c r="C11" s="3">
        <v>0</v>
      </c>
    </row>
    <row r="12" spans="1:11" x14ac:dyDescent="0.2">
      <c r="A12" s="4">
        <v>35</v>
      </c>
      <c r="B12" s="4">
        <v>65000</v>
      </c>
      <c r="C12" s="4">
        <v>0</v>
      </c>
    </row>
    <row r="13" spans="1:11" x14ac:dyDescent="0.2">
      <c r="A13" s="3">
        <v>26</v>
      </c>
      <c r="B13" s="3">
        <v>80000</v>
      </c>
      <c r="C13" s="3">
        <v>0</v>
      </c>
    </row>
    <row r="14" spans="1:11" x14ac:dyDescent="0.2">
      <c r="A14" s="4">
        <v>26</v>
      </c>
      <c r="B14" s="4">
        <v>52000</v>
      </c>
      <c r="C14" s="4">
        <v>0</v>
      </c>
    </row>
    <row r="15" spans="1:11" x14ac:dyDescent="0.2">
      <c r="A15" s="3">
        <v>20</v>
      </c>
      <c r="B15" s="3">
        <v>86000</v>
      </c>
      <c r="C15" s="3">
        <v>0</v>
      </c>
    </row>
    <row r="16" spans="1:11" x14ac:dyDescent="0.2">
      <c r="A16" s="3">
        <v>32</v>
      </c>
      <c r="B16" s="3">
        <v>18000</v>
      </c>
      <c r="C16" s="3">
        <v>0</v>
      </c>
    </row>
    <row r="17" spans="1:3" x14ac:dyDescent="0.2">
      <c r="A17" s="4">
        <v>18</v>
      </c>
      <c r="B17" s="4">
        <v>82000</v>
      </c>
      <c r="C17" s="4">
        <v>0</v>
      </c>
    </row>
    <row r="18" spans="1:3" x14ac:dyDescent="0.2">
      <c r="A18" s="4">
        <v>29</v>
      </c>
      <c r="B18" s="4">
        <v>80000</v>
      </c>
      <c r="C18" s="4">
        <v>0</v>
      </c>
    </row>
    <row r="19" spans="1:3" x14ac:dyDescent="0.2">
      <c r="A19" s="4">
        <v>47</v>
      </c>
      <c r="B19" s="4">
        <v>25000</v>
      </c>
      <c r="C19" s="4">
        <v>1</v>
      </c>
    </row>
    <row r="20" spans="1:3" x14ac:dyDescent="0.2">
      <c r="A20" s="4">
        <v>45</v>
      </c>
      <c r="B20" s="4">
        <v>26000</v>
      </c>
      <c r="C20" s="4">
        <v>1</v>
      </c>
    </row>
    <row r="21" spans="1:3" x14ac:dyDescent="0.2">
      <c r="A21" s="3">
        <v>46</v>
      </c>
      <c r="B21" s="3">
        <v>28000</v>
      </c>
      <c r="C21" s="3">
        <v>1</v>
      </c>
    </row>
    <row r="22" spans="1:3" x14ac:dyDescent="0.2">
      <c r="A22" s="3">
        <v>48</v>
      </c>
      <c r="B22" s="3">
        <v>29000</v>
      </c>
      <c r="C22" s="3">
        <v>1</v>
      </c>
    </row>
    <row r="23" spans="1:3" x14ac:dyDescent="0.2">
      <c r="A23" s="3">
        <v>45</v>
      </c>
      <c r="B23" s="3">
        <v>22000</v>
      </c>
      <c r="C23" s="3">
        <v>1</v>
      </c>
    </row>
    <row r="24" spans="1:3" x14ac:dyDescent="0.2">
      <c r="A24" s="3">
        <v>47</v>
      </c>
      <c r="B24" s="3">
        <v>49000</v>
      </c>
      <c r="C24" s="3">
        <v>1</v>
      </c>
    </row>
    <row r="25" spans="1:3" x14ac:dyDescent="0.2">
      <c r="A25" s="3">
        <v>48</v>
      </c>
      <c r="B25" s="3">
        <v>41000</v>
      </c>
      <c r="C25" s="3">
        <v>1</v>
      </c>
    </row>
    <row r="26" spans="1:3" x14ac:dyDescent="0.2">
      <c r="A26" s="3">
        <v>45</v>
      </c>
      <c r="B26" s="3">
        <v>22000</v>
      </c>
      <c r="C26" s="3">
        <v>1</v>
      </c>
    </row>
    <row r="27" spans="1:3" x14ac:dyDescent="0.2">
      <c r="A27" s="4">
        <v>46</v>
      </c>
      <c r="B27" s="4">
        <v>23000</v>
      </c>
      <c r="C27" s="4">
        <v>1</v>
      </c>
    </row>
    <row r="28" spans="1:3" x14ac:dyDescent="0.2">
      <c r="A28" s="3">
        <v>29</v>
      </c>
      <c r="B28" s="3">
        <v>43000</v>
      </c>
      <c r="C28" s="3">
        <v>0</v>
      </c>
    </row>
    <row r="29" spans="1:3" x14ac:dyDescent="0.2">
      <c r="A29" s="3">
        <v>31</v>
      </c>
      <c r="B29" s="3">
        <v>18000</v>
      </c>
      <c r="C29" s="3">
        <v>0</v>
      </c>
    </row>
    <row r="30" spans="1:3" x14ac:dyDescent="0.2">
      <c r="A30" s="3">
        <v>31</v>
      </c>
      <c r="B30" s="3">
        <v>74000</v>
      </c>
      <c r="C30" s="3">
        <v>0</v>
      </c>
    </row>
    <row r="31" spans="1:3" x14ac:dyDescent="0.2">
      <c r="A31" s="3">
        <v>21</v>
      </c>
      <c r="B31" s="3">
        <v>16000</v>
      </c>
      <c r="C31" s="3">
        <v>0</v>
      </c>
    </row>
    <row r="32" spans="1:3" x14ac:dyDescent="0.2">
      <c r="A32" s="4">
        <v>28</v>
      </c>
      <c r="B32" s="4">
        <v>44000</v>
      </c>
      <c r="C32" s="4">
        <v>0</v>
      </c>
    </row>
    <row r="33" spans="1:3" x14ac:dyDescent="0.2">
      <c r="A33" s="3">
        <v>27</v>
      </c>
      <c r="B33" s="3">
        <v>90000</v>
      </c>
      <c r="C33" s="3">
        <v>1</v>
      </c>
    </row>
    <row r="34" spans="1:3" x14ac:dyDescent="0.2">
      <c r="A34" s="3">
        <v>35</v>
      </c>
      <c r="B34" s="3">
        <v>27000</v>
      </c>
      <c r="C34" s="3">
        <v>0</v>
      </c>
    </row>
    <row r="35" spans="1:3" x14ac:dyDescent="0.2">
      <c r="A35" s="3">
        <v>33</v>
      </c>
      <c r="B35" s="3">
        <v>28000</v>
      </c>
      <c r="C35" s="3">
        <v>0</v>
      </c>
    </row>
    <row r="36" spans="1:3" x14ac:dyDescent="0.2">
      <c r="A36" s="3">
        <v>30</v>
      </c>
      <c r="B36" s="3">
        <v>49000</v>
      </c>
      <c r="C36" s="3">
        <v>0</v>
      </c>
    </row>
    <row r="37" spans="1:3" x14ac:dyDescent="0.2">
      <c r="A37" s="3">
        <v>26</v>
      </c>
      <c r="B37" s="3">
        <v>72000</v>
      </c>
      <c r="C37" s="3">
        <v>0</v>
      </c>
    </row>
    <row r="38" spans="1:3" x14ac:dyDescent="0.2">
      <c r="A38" s="3">
        <v>27</v>
      </c>
      <c r="B38" s="3">
        <v>31000</v>
      </c>
      <c r="C38" s="3">
        <v>0</v>
      </c>
    </row>
    <row r="39" spans="1:3" x14ac:dyDescent="0.2">
      <c r="A39" s="3">
        <v>27</v>
      </c>
      <c r="B39" s="3">
        <v>17000</v>
      </c>
      <c r="C39" s="3">
        <v>0</v>
      </c>
    </row>
    <row r="40" spans="1:3" x14ac:dyDescent="0.2">
      <c r="A40" s="3">
        <v>33</v>
      </c>
      <c r="B40" s="3">
        <v>51000</v>
      </c>
      <c r="C40" s="3">
        <v>0</v>
      </c>
    </row>
    <row r="41" spans="1:3" x14ac:dyDescent="0.2">
      <c r="A41" s="4">
        <v>35</v>
      </c>
      <c r="B41" s="4">
        <v>108000</v>
      </c>
      <c r="C41" s="4">
        <v>0</v>
      </c>
    </row>
    <row r="42" spans="1:3" x14ac:dyDescent="0.2">
      <c r="A42" s="3">
        <v>30</v>
      </c>
      <c r="B42" s="3">
        <v>15000</v>
      </c>
      <c r="C42" s="3">
        <v>0</v>
      </c>
    </row>
    <row r="43" spans="1:3" x14ac:dyDescent="0.2">
      <c r="A43" s="3">
        <v>28</v>
      </c>
      <c r="B43" s="3">
        <v>84000</v>
      </c>
      <c r="C43" s="3">
        <v>0</v>
      </c>
    </row>
    <row r="44" spans="1:3" x14ac:dyDescent="0.2">
      <c r="A44" s="3">
        <v>23</v>
      </c>
      <c r="B44" s="3">
        <v>20000</v>
      </c>
      <c r="C44" s="3">
        <v>0</v>
      </c>
    </row>
    <row r="45" spans="1:3" x14ac:dyDescent="0.2">
      <c r="A45" s="3">
        <v>25</v>
      </c>
      <c r="B45" s="3">
        <v>79000</v>
      </c>
      <c r="C45" s="3">
        <v>0</v>
      </c>
    </row>
    <row r="46" spans="1:3" x14ac:dyDescent="0.2">
      <c r="A46" s="3">
        <v>27</v>
      </c>
      <c r="B46" s="3">
        <v>54000</v>
      </c>
      <c r="C46" s="3">
        <v>0</v>
      </c>
    </row>
    <row r="47" spans="1:3" x14ac:dyDescent="0.2">
      <c r="A47" s="3">
        <v>31</v>
      </c>
      <c r="B47" s="3">
        <v>89000</v>
      </c>
      <c r="C47" s="3">
        <v>1</v>
      </c>
    </row>
    <row r="48" spans="1:3" x14ac:dyDescent="0.2">
      <c r="A48" s="3">
        <v>24</v>
      </c>
      <c r="B48" s="3">
        <v>32000</v>
      </c>
      <c r="C48" s="3">
        <v>0</v>
      </c>
    </row>
    <row r="49" spans="1:3" x14ac:dyDescent="0.2">
      <c r="A49" s="3">
        <v>18</v>
      </c>
      <c r="B49" s="3">
        <v>44000</v>
      </c>
      <c r="C49" s="3">
        <v>0</v>
      </c>
    </row>
    <row r="50" spans="1:3" x14ac:dyDescent="0.2">
      <c r="A50" s="3">
        <v>29</v>
      </c>
      <c r="B50" s="3">
        <v>83000</v>
      </c>
      <c r="C50" s="3">
        <v>0</v>
      </c>
    </row>
    <row r="51" spans="1:3" x14ac:dyDescent="0.2">
      <c r="A51" s="3">
        <v>35</v>
      </c>
      <c r="B51" s="3">
        <v>23000</v>
      </c>
      <c r="C51" s="3">
        <v>0</v>
      </c>
    </row>
    <row r="52" spans="1:3" x14ac:dyDescent="0.2">
      <c r="A52" s="3">
        <v>27</v>
      </c>
      <c r="B52" s="3">
        <v>58000</v>
      </c>
      <c r="C52" s="3">
        <v>0</v>
      </c>
    </row>
  </sheetData>
  <autoFilter ref="A2:C52" xr:uid="{00000000-0009-0000-0000-000001000000}"/>
  <mergeCells count="3">
    <mergeCell ref="A1:C1"/>
    <mergeCell ref="E1:G1"/>
    <mergeCell ref="I1:K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zoomScaleNormal="100" workbookViewId="0">
      <selection activeCell="I3" sqref="I3:J13"/>
    </sheetView>
  </sheetViews>
  <sheetFormatPr defaultRowHeight="12.75" x14ac:dyDescent="0.2"/>
  <cols>
    <col min="1" max="1" width="10.7109375" bestFit="1" customWidth="1"/>
    <col min="2" max="2" width="15.85546875" bestFit="1" customWidth="1"/>
    <col min="3" max="3" width="13.85546875" bestFit="1" customWidth="1"/>
    <col min="4" max="4" width="13.42578125" customWidth="1"/>
    <col min="5" max="5" width="12.28515625" customWidth="1"/>
    <col min="6" max="6" width="15.85546875" bestFit="1" customWidth="1"/>
    <col min="7" max="7" width="13.85546875" bestFit="1" customWidth="1"/>
    <col min="9" max="9" width="10.7109375" bestFit="1" customWidth="1"/>
    <col min="10" max="10" width="15.85546875" bestFit="1" customWidth="1"/>
    <col min="11" max="11" width="13.85546875" bestFit="1" customWidth="1"/>
  </cols>
  <sheetData>
    <row r="1" spans="1:11" ht="39.950000000000003" customHeight="1" x14ac:dyDescent="0.25">
      <c r="A1" s="30" t="s">
        <v>0</v>
      </c>
      <c r="B1" s="31"/>
      <c r="C1" s="31"/>
      <c r="D1" s="2"/>
      <c r="E1" s="32" t="s">
        <v>1</v>
      </c>
      <c r="F1" s="33"/>
      <c r="G1" s="33"/>
      <c r="H1" s="2"/>
      <c r="I1" s="34" t="s">
        <v>2</v>
      </c>
      <c r="J1" s="35"/>
      <c r="K1" s="35"/>
    </row>
    <row r="2" spans="1:11" s="5" customFormat="1" ht="30" customHeight="1" x14ac:dyDescent="0.2">
      <c r="A2" s="6" t="s">
        <v>4</v>
      </c>
      <c r="B2" s="6" t="s">
        <v>5</v>
      </c>
      <c r="C2" s="11" t="s">
        <v>6</v>
      </c>
      <c r="D2" s="1"/>
      <c r="E2" s="6" t="s">
        <v>4</v>
      </c>
      <c r="F2" s="6" t="s">
        <v>5</v>
      </c>
      <c r="G2" s="11" t="s">
        <v>6</v>
      </c>
      <c r="H2" s="1"/>
      <c r="I2" s="6" t="s">
        <v>4</v>
      </c>
      <c r="J2" s="6" t="s">
        <v>5</v>
      </c>
      <c r="K2" s="11" t="s">
        <v>6</v>
      </c>
    </row>
    <row r="3" spans="1:11" x14ac:dyDescent="0.2">
      <c r="A3" s="3">
        <v>19</v>
      </c>
      <c r="B3" s="3">
        <v>19000</v>
      </c>
      <c r="C3" s="7">
        <v>0</v>
      </c>
      <c r="E3" s="3">
        <v>19</v>
      </c>
      <c r="F3" s="3">
        <v>19000</v>
      </c>
      <c r="G3" s="9">
        <v>0</v>
      </c>
      <c r="I3" s="4">
        <v>32</v>
      </c>
      <c r="J3" s="4">
        <v>150000</v>
      </c>
      <c r="K3" s="10">
        <v>1</v>
      </c>
    </row>
    <row r="4" spans="1:11" x14ac:dyDescent="0.2">
      <c r="A4" s="3">
        <v>35</v>
      </c>
      <c r="B4" s="3">
        <v>20000</v>
      </c>
      <c r="C4" s="7">
        <v>0</v>
      </c>
      <c r="E4" s="3">
        <v>35</v>
      </c>
      <c r="F4" s="3">
        <v>20000</v>
      </c>
      <c r="G4" s="9">
        <v>0</v>
      </c>
      <c r="I4" s="4">
        <v>35</v>
      </c>
      <c r="J4" s="4">
        <v>65000</v>
      </c>
      <c r="K4" s="10">
        <v>0</v>
      </c>
    </row>
    <row r="5" spans="1:11" x14ac:dyDescent="0.2">
      <c r="A5" s="3">
        <v>26</v>
      </c>
      <c r="B5" s="3">
        <v>43000</v>
      </c>
      <c r="C5" s="7">
        <v>0</v>
      </c>
      <c r="E5" s="3">
        <v>26</v>
      </c>
      <c r="F5" s="3">
        <v>43000</v>
      </c>
      <c r="G5" s="9">
        <v>0</v>
      </c>
      <c r="I5" s="4">
        <v>26</v>
      </c>
      <c r="J5" s="4">
        <v>52000</v>
      </c>
      <c r="K5" s="10">
        <v>0</v>
      </c>
    </row>
    <row r="6" spans="1:11" x14ac:dyDescent="0.2">
      <c r="A6" s="3">
        <v>27</v>
      </c>
      <c r="B6" s="3">
        <v>57000</v>
      </c>
      <c r="C6" s="7">
        <v>0</v>
      </c>
      <c r="E6" s="3">
        <v>27</v>
      </c>
      <c r="F6" s="3">
        <v>57000</v>
      </c>
      <c r="G6" s="9">
        <v>0</v>
      </c>
      <c r="I6" s="4">
        <v>18</v>
      </c>
      <c r="J6" s="4">
        <v>82000</v>
      </c>
      <c r="K6" s="10">
        <v>0</v>
      </c>
    </row>
    <row r="7" spans="1:11" x14ac:dyDescent="0.2">
      <c r="A7" s="3">
        <v>19</v>
      </c>
      <c r="B7" s="3">
        <v>76000</v>
      </c>
      <c r="C7" s="7">
        <v>0</v>
      </c>
      <c r="E7" s="3">
        <v>19</v>
      </c>
      <c r="F7" s="3">
        <v>76000</v>
      </c>
      <c r="G7" s="9">
        <v>0</v>
      </c>
      <c r="I7" s="4">
        <v>29</v>
      </c>
      <c r="J7" s="4">
        <v>80000</v>
      </c>
      <c r="K7" s="10">
        <v>0</v>
      </c>
    </row>
    <row r="8" spans="1:11" x14ac:dyDescent="0.2">
      <c r="A8" s="3">
        <v>27</v>
      </c>
      <c r="B8" s="3">
        <v>58000</v>
      </c>
      <c r="C8" s="7">
        <v>0</v>
      </c>
      <c r="E8" s="3">
        <v>27</v>
      </c>
      <c r="F8" s="3">
        <v>58000</v>
      </c>
      <c r="G8" s="9">
        <v>0</v>
      </c>
      <c r="I8" s="4">
        <v>47</v>
      </c>
      <c r="J8" s="4">
        <v>25000</v>
      </c>
      <c r="K8" s="10">
        <v>1</v>
      </c>
    </row>
    <row r="9" spans="1:11" x14ac:dyDescent="0.2">
      <c r="A9" s="3">
        <v>27</v>
      </c>
      <c r="B9" s="3">
        <v>84000</v>
      </c>
      <c r="C9" s="7">
        <v>0</v>
      </c>
      <c r="E9" s="3">
        <v>27</v>
      </c>
      <c r="F9" s="3">
        <v>84000</v>
      </c>
      <c r="G9" s="9">
        <v>0</v>
      </c>
      <c r="I9" s="4">
        <v>45</v>
      </c>
      <c r="J9" s="4">
        <v>26000</v>
      </c>
      <c r="K9" s="10">
        <v>1</v>
      </c>
    </row>
    <row r="10" spans="1:11" x14ac:dyDescent="0.2">
      <c r="A10" s="4">
        <v>32</v>
      </c>
      <c r="B10" s="4">
        <v>150000</v>
      </c>
      <c r="C10" s="8">
        <v>1</v>
      </c>
      <c r="E10" s="3">
        <v>25</v>
      </c>
      <c r="F10" s="3">
        <v>33000</v>
      </c>
      <c r="G10" s="9">
        <v>0</v>
      </c>
      <c r="I10" s="4">
        <v>46</v>
      </c>
      <c r="J10" s="4">
        <v>23000</v>
      </c>
      <c r="K10" s="10">
        <v>1</v>
      </c>
    </row>
    <row r="11" spans="1:11" x14ac:dyDescent="0.2">
      <c r="A11" s="3">
        <v>25</v>
      </c>
      <c r="B11" s="3">
        <v>33000</v>
      </c>
      <c r="C11" s="7">
        <v>0</v>
      </c>
      <c r="E11" s="3">
        <v>26</v>
      </c>
      <c r="F11" s="3">
        <v>80000</v>
      </c>
      <c r="G11" s="9">
        <v>0</v>
      </c>
      <c r="I11" s="4">
        <v>28</v>
      </c>
      <c r="J11" s="4">
        <v>44000</v>
      </c>
      <c r="K11" s="10">
        <v>0</v>
      </c>
    </row>
    <row r="12" spans="1:11" x14ac:dyDescent="0.2">
      <c r="A12" s="4">
        <v>35</v>
      </c>
      <c r="B12" s="4">
        <v>65000</v>
      </c>
      <c r="C12" s="8">
        <v>0</v>
      </c>
      <c r="E12" s="3">
        <v>20</v>
      </c>
      <c r="F12" s="3">
        <v>86000</v>
      </c>
      <c r="G12" s="9">
        <v>0</v>
      </c>
      <c r="I12" s="4">
        <v>35</v>
      </c>
      <c r="J12" s="4">
        <v>108000</v>
      </c>
      <c r="K12" s="10">
        <v>0</v>
      </c>
    </row>
    <row r="13" spans="1:11" x14ac:dyDescent="0.2">
      <c r="A13" s="3">
        <v>26</v>
      </c>
      <c r="B13" s="3">
        <v>80000</v>
      </c>
      <c r="C13" s="7">
        <v>0</v>
      </c>
      <c r="E13" s="3">
        <v>32</v>
      </c>
      <c r="F13" s="3">
        <v>18000</v>
      </c>
      <c r="G13" s="9">
        <v>0</v>
      </c>
    </row>
    <row r="14" spans="1:11" x14ac:dyDescent="0.2">
      <c r="A14" s="4">
        <v>26</v>
      </c>
      <c r="B14" s="4">
        <v>52000</v>
      </c>
      <c r="C14" s="8">
        <v>0</v>
      </c>
      <c r="E14" s="3">
        <v>46</v>
      </c>
      <c r="F14" s="3">
        <v>28000</v>
      </c>
      <c r="G14" s="9">
        <v>1</v>
      </c>
      <c r="I14" s="36" t="s">
        <v>8</v>
      </c>
      <c r="J14" s="36"/>
      <c r="K14" s="15" t="s">
        <v>9</v>
      </c>
    </row>
    <row r="15" spans="1:11" x14ac:dyDescent="0.2">
      <c r="A15" s="3">
        <v>20</v>
      </c>
      <c r="B15" s="3">
        <v>86000</v>
      </c>
      <c r="C15" s="7">
        <v>0</v>
      </c>
      <c r="E15" s="3">
        <v>48</v>
      </c>
      <c r="F15" s="3">
        <v>29000</v>
      </c>
      <c r="G15" s="9">
        <v>1</v>
      </c>
    </row>
    <row r="16" spans="1:11" x14ac:dyDescent="0.2">
      <c r="A16" s="3">
        <v>32</v>
      </c>
      <c r="B16" s="3">
        <v>18000</v>
      </c>
      <c r="C16" s="7">
        <v>0</v>
      </c>
      <c r="E16" s="3">
        <v>45</v>
      </c>
      <c r="F16" s="3">
        <v>22000</v>
      </c>
      <c r="G16" s="9">
        <v>1</v>
      </c>
    </row>
    <row r="17" spans="1:7" x14ac:dyDescent="0.2">
      <c r="A17" s="4">
        <v>18</v>
      </c>
      <c r="B17" s="4">
        <v>82000</v>
      </c>
      <c r="C17" s="8">
        <v>0</v>
      </c>
      <c r="E17" s="3">
        <v>47</v>
      </c>
      <c r="F17" s="3">
        <v>49000</v>
      </c>
      <c r="G17" s="9">
        <v>1</v>
      </c>
    </row>
    <row r="18" spans="1:7" x14ac:dyDescent="0.2">
      <c r="A18" s="4">
        <v>29</v>
      </c>
      <c r="B18" s="4">
        <v>80000</v>
      </c>
      <c r="C18" s="8">
        <v>0</v>
      </c>
      <c r="E18" s="3">
        <v>48</v>
      </c>
      <c r="F18" s="3">
        <v>41000</v>
      </c>
      <c r="G18" s="9">
        <v>1</v>
      </c>
    </row>
    <row r="19" spans="1:7" x14ac:dyDescent="0.2">
      <c r="A19" s="4">
        <v>47</v>
      </c>
      <c r="B19" s="4">
        <v>25000</v>
      </c>
      <c r="C19" s="8">
        <v>1</v>
      </c>
      <c r="E19" s="3">
        <v>45</v>
      </c>
      <c r="F19" s="3">
        <v>22000</v>
      </c>
      <c r="G19" s="9">
        <v>1</v>
      </c>
    </row>
    <row r="20" spans="1:7" x14ac:dyDescent="0.2">
      <c r="A20" s="4">
        <v>45</v>
      </c>
      <c r="B20" s="4">
        <v>26000</v>
      </c>
      <c r="C20" s="8">
        <v>1</v>
      </c>
      <c r="E20" s="3">
        <v>29</v>
      </c>
      <c r="F20" s="3">
        <v>43000</v>
      </c>
      <c r="G20" s="9">
        <v>0</v>
      </c>
    </row>
    <row r="21" spans="1:7" x14ac:dyDescent="0.2">
      <c r="A21" s="3">
        <v>46</v>
      </c>
      <c r="B21" s="3">
        <v>28000</v>
      </c>
      <c r="C21" s="7">
        <v>1</v>
      </c>
      <c r="E21" s="3">
        <v>31</v>
      </c>
      <c r="F21" s="3">
        <v>18000</v>
      </c>
      <c r="G21" s="9">
        <v>0</v>
      </c>
    </row>
    <row r="22" spans="1:7" x14ac:dyDescent="0.2">
      <c r="A22" s="3">
        <v>48</v>
      </c>
      <c r="B22" s="3">
        <v>29000</v>
      </c>
      <c r="C22" s="7">
        <v>1</v>
      </c>
      <c r="E22" s="3">
        <v>31</v>
      </c>
      <c r="F22" s="3">
        <v>74000</v>
      </c>
      <c r="G22" s="9">
        <v>0</v>
      </c>
    </row>
    <row r="23" spans="1:7" x14ac:dyDescent="0.2">
      <c r="A23" s="3">
        <v>45</v>
      </c>
      <c r="B23" s="3">
        <v>22000</v>
      </c>
      <c r="C23" s="7">
        <v>1</v>
      </c>
      <c r="E23" s="3">
        <v>21</v>
      </c>
      <c r="F23" s="3">
        <v>16000</v>
      </c>
      <c r="G23" s="9">
        <v>0</v>
      </c>
    </row>
    <row r="24" spans="1:7" x14ac:dyDescent="0.2">
      <c r="A24" s="3">
        <v>47</v>
      </c>
      <c r="B24" s="3">
        <v>49000</v>
      </c>
      <c r="C24" s="7">
        <v>1</v>
      </c>
      <c r="E24" s="3">
        <v>27</v>
      </c>
      <c r="F24" s="3">
        <v>90000</v>
      </c>
      <c r="G24" s="9">
        <v>1</v>
      </c>
    </row>
    <row r="25" spans="1:7" x14ac:dyDescent="0.2">
      <c r="A25" s="3">
        <v>48</v>
      </c>
      <c r="B25" s="3">
        <v>41000</v>
      </c>
      <c r="C25" s="7">
        <v>1</v>
      </c>
      <c r="E25" s="3">
        <v>35</v>
      </c>
      <c r="F25" s="3">
        <v>27000</v>
      </c>
      <c r="G25" s="9">
        <v>0</v>
      </c>
    </row>
    <row r="26" spans="1:7" x14ac:dyDescent="0.2">
      <c r="A26" s="3">
        <v>45</v>
      </c>
      <c r="B26" s="3">
        <v>22000</v>
      </c>
      <c r="C26" s="7">
        <v>1</v>
      </c>
      <c r="E26" s="3">
        <v>33</v>
      </c>
      <c r="F26" s="3">
        <v>28000</v>
      </c>
      <c r="G26" s="9">
        <v>0</v>
      </c>
    </row>
    <row r="27" spans="1:7" x14ac:dyDescent="0.2">
      <c r="A27" s="4">
        <v>46</v>
      </c>
      <c r="B27" s="4">
        <v>23000</v>
      </c>
      <c r="C27" s="8">
        <v>1</v>
      </c>
      <c r="E27" s="3">
        <v>30</v>
      </c>
      <c r="F27" s="3">
        <v>49000</v>
      </c>
      <c r="G27" s="9">
        <v>0</v>
      </c>
    </row>
    <row r="28" spans="1:7" x14ac:dyDescent="0.2">
      <c r="A28" s="3">
        <v>29</v>
      </c>
      <c r="B28" s="3">
        <v>43000</v>
      </c>
      <c r="C28" s="7">
        <v>0</v>
      </c>
      <c r="E28" s="3">
        <v>26</v>
      </c>
      <c r="F28" s="3">
        <v>72000</v>
      </c>
      <c r="G28" s="9">
        <v>0</v>
      </c>
    </row>
    <row r="29" spans="1:7" x14ac:dyDescent="0.2">
      <c r="A29" s="3">
        <v>31</v>
      </c>
      <c r="B29" s="3">
        <v>18000</v>
      </c>
      <c r="C29" s="7">
        <v>0</v>
      </c>
      <c r="E29" s="3">
        <v>27</v>
      </c>
      <c r="F29" s="3">
        <v>31000</v>
      </c>
      <c r="G29" s="9">
        <v>0</v>
      </c>
    </row>
    <row r="30" spans="1:7" x14ac:dyDescent="0.2">
      <c r="A30" s="3">
        <v>31</v>
      </c>
      <c r="B30" s="3">
        <v>74000</v>
      </c>
      <c r="C30" s="7">
        <v>0</v>
      </c>
      <c r="E30" s="3">
        <v>27</v>
      </c>
      <c r="F30" s="3">
        <v>17000</v>
      </c>
      <c r="G30" s="9">
        <v>0</v>
      </c>
    </row>
    <row r="31" spans="1:7" x14ac:dyDescent="0.2">
      <c r="A31" s="3">
        <v>21</v>
      </c>
      <c r="B31" s="3">
        <v>16000</v>
      </c>
      <c r="C31" s="7">
        <v>0</v>
      </c>
      <c r="E31" s="3">
        <v>33</v>
      </c>
      <c r="F31" s="3">
        <v>51000</v>
      </c>
      <c r="G31" s="9">
        <v>0</v>
      </c>
    </row>
    <row r="32" spans="1:7" x14ac:dyDescent="0.2">
      <c r="A32" s="4">
        <v>28</v>
      </c>
      <c r="B32" s="4">
        <v>44000</v>
      </c>
      <c r="C32" s="8">
        <v>0</v>
      </c>
      <c r="E32" s="3">
        <v>30</v>
      </c>
      <c r="F32" s="3">
        <v>15000</v>
      </c>
      <c r="G32" s="9">
        <v>0</v>
      </c>
    </row>
    <row r="33" spans="1:7" x14ac:dyDescent="0.2">
      <c r="A33" s="3">
        <v>27</v>
      </c>
      <c r="B33" s="3">
        <v>90000</v>
      </c>
      <c r="C33" s="7">
        <v>1</v>
      </c>
      <c r="E33" s="3">
        <v>28</v>
      </c>
      <c r="F33" s="3">
        <v>84000</v>
      </c>
      <c r="G33" s="9">
        <v>0</v>
      </c>
    </row>
    <row r="34" spans="1:7" x14ac:dyDescent="0.2">
      <c r="A34" s="3">
        <v>35</v>
      </c>
      <c r="B34" s="3">
        <v>27000</v>
      </c>
      <c r="C34" s="7">
        <v>0</v>
      </c>
      <c r="E34" s="3">
        <v>23</v>
      </c>
      <c r="F34" s="3">
        <v>20000</v>
      </c>
      <c r="G34" s="9">
        <v>0</v>
      </c>
    </row>
    <row r="35" spans="1:7" x14ac:dyDescent="0.2">
      <c r="A35" s="3">
        <v>33</v>
      </c>
      <c r="B35" s="3">
        <v>28000</v>
      </c>
      <c r="C35" s="7">
        <v>0</v>
      </c>
      <c r="E35" s="3">
        <v>25</v>
      </c>
      <c r="F35" s="3">
        <v>79000</v>
      </c>
      <c r="G35" s="9">
        <v>0</v>
      </c>
    </row>
    <row r="36" spans="1:7" x14ac:dyDescent="0.2">
      <c r="A36" s="3">
        <v>30</v>
      </c>
      <c r="B36" s="3">
        <v>49000</v>
      </c>
      <c r="C36" s="7">
        <v>0</v>
      </c>
      <c r="E36" s="3">
        <v>27</v>
      </c>
      <c r="F36" s="3">
        <v>54000</v>
      </c>
      <c r="G36" s="9">
        <v>0</v>
      </c>
    </row>
    <row r="37" spans="1:7" x14ac:dyDescent="0.2">
      <c r="A37" s="3">
        <v>26</v>
      </c>
      <c r="B37" s="3">
        <v>72000</v>
      </c>
      <c r="C37" s="7">
        <v>0</v>
      </c>
      <c r="E37" s="3">
        <v>31</v>
      </c>
      <c r="F37" s="3">
        <v>89000</v>
      </c>
      <c r="G37" s="9">
        <v>1</v>
      </c>
    </row>
    <row r="38" spans="1:7" x14ac:dyDescent="0.2">
      <c r="A38" s="3">
        <v>27</v>
      </c>
      <c r="B38" s="3">
        <v>31000</v>
      </c>
      <c r="C38" s="7">
        <v>0</v>
      </c>
      <c r="E38" s="3">
        <v>24</v>
      </c>
      <c r="F38" s="3">
        <v>32000</v>
      </c>
      <c r="G38" s="9">
        <v>0</v>
      </c>
    </row>
    <row r="39" spans="1:7" x14ac:dyDescent="0.2">
      <c r="A39" s="3">
        <v>27</v>
      </c>
      <c r="B39" s="3">
        <v>17000</v>
      </c>
      <c r="C39" s="7">
        <v>0</v>
      </c>
      <c r="E39" s="3">
        <v>18</v>
      </c>
      <c r="F39" s="3">
        <v>44000</v>
      </c>
      <c r="G39" s="9">
        <v>0</v>
      </c>
    </row>
    <row r="40" spans="1:7" x14ac:dyDescent="0.2">
      <c r="A40" s="3">
        <v>33</v>
      </c>
      <c r="B40" s="3">
        <v>51000</v>
      </c>
      <c r="C40" s="7">
        <v>0</v>
      </c>
      <c r="E40" s="3">
        <v>29</v>
      </c>
      <c r="F40" s="3">
        <v>83000</v>
      </c>
      <c r="G40" s="9">
        <v>0</v>
      </c>
    </row>
    <row r="41" spans="1:7" x14ac:dyDescent="0.2">
      <c r="A41" s="4">
        <v>35</v>
      </c>
      <c r="B41" s="4">
        <v>108000</v>
      </c>
      <c r="C41" s="8">
        <v>0</v>
      </c>
      <c r="E41" s="3">
        <v>35</v>
      </c>
      <c r="F41" s="3">
        <v>23000</v>
      </c>
      <c r="G41" s="9">
        <v>0</v>
      </c>
    </row>
    <row r="42" spans="1:7" x14ac:dyDescent="0.2">
      <c r="A42" s="3">
        <v>30</v>
      </c>
      <c r="B42" s="3">
        <v>15000</v>
      </c>
      <c r="C42" s="7">
        <v>0</v>
      </c>
      <c r="E42" s="3">
        <v>27</v>
      </c>
      <c r="F42" s="3">
        <v>58000</v>
      </c>
      <c r="G42" s="9">
        <v>0</v>
      </c>
    </row>
    <row r="43" spans="1:7" x14ac:dyDescent="0.2">
      <c r="A43" s="3">
        <v>28</v>
      </c>
      <c r="B43" s="3">
        <v>84000</v>
      </c>
      <c r="C43" s="7">
        <v>0</v>
      </c>
    </row>
    <row r="44" spans="1:7" x14ac:dyDescent="0.2">
      <c r="A44" s="3">
        <v>23</v>
      </c>
      <c r="B44" s="3">
        <v>20000</v>
      </c>
      <c r="C44" s="7">
        <v>0</v>
      </c>
      <c r="E44" t="s">
        <v>3</v>
      </c>
    </row>
    <row r="45" spans="1:7" x14ac:dyDescent="0.2">
      <c r="A45" s="3">
        <v>25</v>
      </c>
      <c r="B45" s="3">
        <v>79000</v>
      </c>
      <c r="C45" s="7">
        <v>0</v>
      </c>
    </row>
    <row r="46" spans="1:7" x14ac:dyDescent="0.2">
      <c r="A46" s="3">
        <v>27</v>
      </c>
      <c r="B46" s="3">
        <v>54000</v>
      </c>
      <c r="C46" s="7">
        <v>0</v>
      </c>
      <c r="E46" s="37" t="s">
        <v>7</v>
      </c>
      <c r="F46" s="38"/>
      <c r="G46" s="16" t="s">
        <v>10</v>
      </c>
    </row>
    <row r="47" spans="1:7" x14ac:dyDescent="0.2">
      <c r="A47" s="3">
        <v>31</v>
      </c>
      <c r="B47" s="3">
        <v>89000</v>
      </c>
      <c r="C47" s="7">
        <v>1</v>
      </c>
    </row>
    <row r="48" spans="1:7" x14ac:dyDescent="0.2">
      <c r="A48" s="3">
        <v>24</v>
      </c>
      <c r="B48" s="3">
        <v>32000</v>
      </c>
      <c r="C48" s="7">
        <v>0</v>
      </c>
    </row>
    <row r="49" spans="1:5" x14ac:dyDescent="0.2">
      <c r="A49" s="3">
        <v>18</v>
      </c>
      <c r="B49" s="3">
        <v>44000</v>
      </c>
      <c r="C49" s="7">
        <v>0</v>
      </c>
      <c r="E49" t="s">
        <v>11</v>
      </c>
    </row>
    <row r="50" spans="1:5" x14ac:dyDescent="0.2">
      <c r="A50" s="3">
        <v>29</v>
      </c>
      <c r="B50" s="3">
        <v>83000</v>
      </c>
      <c r="C50" s="7">
        <v>0</v>
      </c>
    </row>
    <row r="51" spans="1:5" x14ac:dyDescent="0.2">
      <c r="A51" s="3">
        <v>35</v>
      </c>
      <c r="B51" s="3">
        <v>23000</v>
      </c>
      <c r="C51" s="7">
        <v>0</v>
      </c>
    </row>
    <row r="52" spans="1:5" x14ac:dyDescent="0.2">
      <c r="A52" s="3">
        <v>27</v>
      </c>
      <c r="B52" s="3">
        <v>58000</v>
      </c>
      <c r="C52" s="7">
        <v>0</v>
      </c>
    </row>
  </sheetData>
  <autoFilter ref="A2:C2" xr:uid="{00000000-0001-0000-0200-000000000000}"/>
  <mergeCells count="5">
    <mergeCell ref="A1:C1"/>
    <mergeCell ref="E1:G1"/>
    <mergeCell ref="I1:K1"/>
    <mergeCell ref="I14:J14"/>
    <mergeCell ref="E46:F46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CE59-21CC-4028-A94A-B5A4652F0F29}">
  <dimension ref="A1:Z80"/>
  <sheetViews>
    <sheetView tabSelected="1" topLeftCell="P36" zoomScale="115" zoomScaleNormal="115" workbookViewId="0">
      <selection activeCell="Y84" sqref="Y84"/>
    </sheetView>
  </sheetViews>
  <sheetFormatPr defaultRowHeight="12.75" x14ac:dyDescent="0.2"/>
  <cols>
    <col min="1" max="1" width="10.7109375" bestFit="1" customWidth="1"/>
    <col min="2" max="2" width="15.85546875" bestFit="1" customWidth="1"/>
    <col min="3" max="3" width="13.85546875" bestFit="1" customWidth="1"/>
    <col min="4" max="4" width="13.42578125" customWidth="1"/>
    <col min="5" max="5" width="12.28515625" customWidth="1"/>
    <col min="6" max="6" width="15.85546875" bestFit="1" customWidth="1"/>
    <col min="7" max="7" width="13.85546875" bestFit="1" customWidth="1"/>
    <col min="9" max="9" width="10.7109375" bestFit="1" customWidth="1"/>
    <col min="10" max="10" width="15.85546875" bestFit="1" customWidth="1"/>
    <col min="11" max="11" width="13.85546875" bestFit="1" customWidth="1"/>
    <col min="16" max="16" width="12.140625" customWidth="1"/>
    <col min="17" max="17" width="16.28515625" customWidth="1"/>
    <col min="18" max="18" width="13.5703125" customWidth="1"/>
    <col min="19" max="19" width="15.5703125" customWidth="1"/>
    <col min="20" max="20" width="13.85546875" customWidth="1"/>
    <col min="21" max="21" width="16.85546875" customWidth="1"/>
    <col min="22" max="22" width="13.85546875" customWidth="1"/>
    <col min="24" max="24" width="10.7109375" bestFit="1" customWidth="1"/>
    <col min="25" max="25" width="15.85546875" customWidth="1"/>
    <col min="26" max="26" width="13.85546875" customWidth="1"/>
  </cols>
  <sheetData>
    <row r="1" spans="1:26" ht="39.950000000000003" customHeight="1" x14ac:dyDescent="0.25">
      <c r="A1" s="30" t="s">
        <v>0</v>
      </c>
      <c r="B1" s="31"/>
      <c r="C1" s="31"/>
      <c r="D1" s="2"/>
      <c r="E1" s="32" t="s">
        <v>1</v>
      </c>
      <c r="F1" s="33"/>
      <c r="G1" s="33"/>
      <c r="H1" s="2"/>
      <c r="I1" s="34" t="s">
        <v>15</v>
      </c>
      <c r="J1" s="35"/>
      <c r="K1" s="35"/>
      <c r="P1" s="30" t="s">
        <v>0</v>
      </c>
      <c r="Q1" s="31"/>
      <c r="R1" s="31"/>
      <c r="T1" s="30" t="s">
        <v>12</v>
      </c>
      <c r="U1" s="31"/>
      <c r="V1" s="31"/>
      <c r="X1" s="30" t="s">
        <v>13</v>
      </c>
      <c r="Y1" s="31"/>
      <c r="Z1" s="31"/>
    </row>
    <row r="2" spans="1:26" s="5" customFormat="1" ht="30" customHeight="1" x14ac:dyDescent="0.2">
      <c r="A2" s="6" t="s">
        <v>4</v>
      </c>
      <c r="B2" s="6" t="s">
        <v>5</v>
      </c>
      <c r="C2" s="11" t="s">
        <v>6</v>
      </c>
      <c r="D2" s="1"/>
      <c r="E2" s="6" t="s">
        <v>4</v>
      </c>
      <c r="F2" s="6" t="s">
        <v>5</v>
      </c>
      <c r="G2" s="11" t="s">
        <v>6</v>
      </c>
      <c r="H2" s="1"/>
      <c r="I2" s="6" t="s">
        <v>4</v>
      </c>
      <c r="J2" s="6" t="s">
        <v>5</v>
      </c>
      <c r="K2" s="11" t="s">
        <v>6</v>
      </c>
      <c r="P2" s="6" t="s">
        <v>4</v>
      </c>
      <c r="Q2" s="6" t="s">
        <v>5</v>
      </c>
      <c r="R2" s="11" t="s">
        <v>6</v>
      </c>
      <c r="S2" s="17"/>
      <c r="T2" s="6" t="s">
        <v>4</v>
      </c>
      <c r="U2" s="6" t="s">
        <v>5</v>
      </c>
      <c r="V2" s="11" t="s">
        <v>6</v>
      </c>
      <c r="X2" s="6" t="s">
        <v>4</v>
      </c>
      <c r="Y2" s="6" t="s">
        <v>5</v>
      </c>
      <c r="Z2" s="11" t="s">
        <v>6</v>
      </c>
    </row>
    <row r="3" spans="1:26" x14ac:dyDescent="0.2">
      <c r="A3" s="3">
        <v>19</v>
      </c>
      <c r="B3" s="3">
        <v>19000</v>
      </c>
      <c r="C3" s="7">
        <v>0</v>
      </c>
      <c r="E3" s="3">
        <v>19</v>
      </c>
      <c r="F3" s="3">
        <v>19000</v>
      </c>
      <c r="G3" s="9">
        <v>0</v>
      </c>
      <c r="I3" s="4">
        <v>32</v>
      </c>
      <c r="J3" s="4">
        <v>150000</v>
      </c>
      <c r="K3" s="10">
        <v>1</v>
      </c>
      <c r="P3" s="3">
        <v>19</v>
      </c>
      <c r="Q3" s="3">
        <v>19000</v>
      </c>
      <c r="R3" s="9">
        <v>0</v>
      </c>
      <c r="S3" s="18"/>
      <c r="T3" s="7">
        <v>18</v>
      </c>
      <c r="U3" s="3">
        <v>44000</v>
      </c>
      <c r="V3" s="9">
        <v>0</v>
      </c>
      <c r="X3" s="3">
        <v>30</v>
      </c>
      <c r="Y3" s="3">
        <v>15000</v>
      </c>
      <c r="Z3" s="9">
        <v>0</v>
      </c>
    </row>
    <row r="4" spans="1:26" x14ac:dyDescent="0.2">
      <c r="A4" s="3">
        <v>35</v>
      </c>
      <c r="B4" s="3">
        <v>20000</v>
      </c>
      <c r="C4" s="7">
        <v>0</v>
      </c>
      <c r="E4" s="3">
        <v>35</v>
      </c>
      <c r="F4" s="3">
        <v>20000</v>
      </c>
      <c r="G4" s="9">
        <v>0</v>
      </c>
      <c r="I4" s="4">
        <v>35</v>
      </c>
      <c r="J4" s="4">
        <v>65000</v>
      </c>
      <c r="K4" s="10">
        <v>0</v>
      </c>
      <c r="P4" s="3">
        <v>35</v>
      </c>
      <c r="Q4" s="3">
        <v>20000</v>
      </c>
      <c r="R4" s="9">
        <v>0</v>
      </c>
      <c r="S4" s="18"/>
      <c r="T4" s="7">
        <v>19</v>
      </c>
      <c r="U4" s="3">
        <v>19000</v>
      </c>
      <c r="V4" s="9">
        <v>0</v>
      </c>
      <c r="X4" s="3">
        <v>21</v>
      </c>
      <c r="Y4" s="3">
        <v>16000</v>
      </c>
      <c r="Z4" s="9">
        <v>0</v>
      </c>
    </row>
    <row r="5" spans="1:26" x14ac:dyDescent="0.2">
      <c r="A5" s="3">
        <v>26</v>
      </c>
      <c r="B5" s="3">
        <v>43000</v>
      </c>
      <c r="C5" s="7">
        <v>0</v>
      </c>
      <c r="E5" s="3">
        <v>26</v>
      </c>
      <c r="F5" s="3">
        <v>43000</v>
      </c>
      <c r="G5" s="9">
        <v>0</v>
      </c>
      <c r="I5" s="4">
        <v>26</v>
      </c>
      <c r="J5" s="4">
        <v>52000</v>
      </c>
      <c r="K5" s="10">
        <v>0</v>
      </c>
      <c r="P5" s="3">
        <v>26</v>
      </c>
      <c r="Q5" s="3">
        <v>43000</v>
      </c>
      <c r="R5" s="9">
        <v>0</v>
      </c>
      <c r="S5" s="18"/>
      <c r="T5" s="7">
        <v>19</v>
      </c>
      <c r="U5" s="3">
        <v>76000</v>
      </c>
      <c r="V5" s="9">
        <v>0</v>
      </c>
      <c r="X5" s="3">
        <v>27</v>
      </c>
      <c r="Y5" s="3">
        <v>17000</v>
      </c>
      <c r="Z5" s="9">
        <v>0</v>
      </c>
    </row>
    <row r="6" spans="1:26" x14ac:dyDescent="0.2">
      <c r="A6" s="3">
        <v>27</v>
      </c>
      <c r="B6" s="3">
        <v>57000</v>
      </c>
      <c r="C6" s="7">
        <v>0</v>
      </c>
      <c r="E6" s="3">
        <v>27</v>
      </c>
      <c r="F6" s="3">
        <v>57000</v>
      </c>
      <c r="G6" s="9">
        <v>0</v>
      </c>
      <c r="I6" s="4">
        <v>18</v>
      </c>
      <c r="J6" s="4">
        <v>82000</v>
      </c>
      <c r="K6" s="10">
        <v>0</v>
      </c>
      <c r="P6" s="3">
        <v>27</v>
      </c>
      <c r="Q6" s="3">
        <v>57000</v>
      </c>
      <c r="R6" s="9">
        <v>0</v>
      </c>
      <c r="S6" s="18"/>
      <c r="T6" s="7">
        <v>20</v>
      </c>
      <c r="U6" s="3">
        <v>86000</v>
      </c>
      <c r="V6" s="9">
        <v>0</v>
      </c>
      <c r="X6" s="3">
        <v>31</v>
      </c>
      <c r="Y6" s="3">
        <v>18000</v>
      </c>
      <c r="Z6" s="9">
        <v>0</v>
      </c>
    </row>
    <row r="7" spans="1:26" x14ac:dyDescent="0.2">
      <c r="A7" s="3">
        <v>19</v>
      </c>
      <c r="B7" s="3">
        <v>76000</v>
      </c>
      <c r="C7" s="7">
        <v>0</v>
      </c>
      <c r="E7" s="3">
        <v>19</v>
      </c>
      <c r="F7" s="3">
        <v>76000</v>
      </c>
      <c r="G7" s="9">
        <v>0</v>
      </c>
      <c r="I7" s="4">
        <v>29</v>
      </c>
      <c r="J7" s="4">
        <v>80000</v>
      </c>
      <c r="K7" s="10">
        <v>0</v>
      </c>
      <c r="P7" s="3">
        <v>19</v>
      </c>
      <c r="Q7" s="3">
        <v>76000</v>
      </c>
      <c r="R7" s="9">
        <v>0</v>
      </c>
      <c r="S7" s="18"/>
      <c r="T7" s="7">
        <v>21</v>
      </c>
      <c r="U7" s="3">
        <v>16000</v>
      </c>
      <c r="V7" s="9">
        <v>0</v>
      </c>
      <c r="X7" s="3">
        <v>32</v>
      </c>
      <c r="Y7" s="3">
        <v>18000</v>
      </c>
      <c r="Z7" s="9">
        <v>0</v>
      </c>
    </row>
    <row r="8" spans="1:26" x14ac:dyDescent="0.2">
      <c r="A8" s="3">
        <v>27</v>
      </c>
      <c r="B8" s="3">
        <v>58000</v>
      </c>
      <c r="C8" s="7">
        <v>0</v>
      </c>
      <c r="E8" s="3">
        <v>27</v>
      </c>
      <c r="F8" s="3">
        <v>58000</v>
      </c>
      <c r="G8" s="9">
        <v>0</v>
      </c>
      <c r="I8" s="4">
        <v>47</v>
      </c>
      <c r="J8" s="4">
        <v>25000</v>
      </c>
      <c r="K8" s="10">
        <v>1</v>
      </c>
      <c r="P8" s="3">
        <v>27</v>
      </c>
      <c r="Q8" s="3">
        <v>58000</v>
      </c>
      <c r="R8" s="9">
        <v>0</v>
      </c>
      <c r="S8" s="18"/>
      <c r="T8" s="7">
        <v>23</v>
      </c>
      <c r="U8" s="3">
        <v>20000</v>
      </c>
      <c r="V8" s="9">
        <v>0</v>
      </c>
      <c r="X8" s="3">
        <v>19</v>
      </c>
      <c r="Y8" s="3">
        <v>19000</v>
      </c>
      <c r="Z8" s="9">
        <v>0</v>
      </c>
    </row>
    <row r="9" spans="1:26" x14ac:dyDescent="0.2">
      <c r="A9" s="3">
        <v>27</v>
      </c>
      <c r="B9" s="3">
        <v>84000</v>
      </c>
      <c r="C9" s="7">
        <v>0</v>
      </c>
      <c r="E9" s="3">
        <v>27</v>
      </c>
      <c r="F9" s="3">
        <v>84000</v>
      </c>
      <c r="G9" s="9">
        <v>0</v>
      </c>
      <c r="I9" s="4">
        <v>45</v>
      </c>
      <c r="J9" s="4">
        <v>26000</v>
      </c>
      <c r="K9" s="10">
        <v>1</v>
      </c>
      <c r="P9" s="3">
        <v>27</v>
      </c>
      <c r="Q9" s="3">
        <v>84000</v>
      </c>
      <c r="R9" s="9">
        <v>0</v>
      </c>
      <c r="S9" s="18"/>
      <c r="T9" s="7">
        <v>24</v>
      </c>
      <c r="U9" s="3">
        <v>32000</v>
      </c>
      <c r="V9" s="9">
        <v>0</v>
      </c>
      <c r="X9" s="3">
        <v>23</v>
      </c>
      <c r="Y9" s="3">
        <v>20000</v>
      </c>
      <c r="Z9" s="9">
        <v>0</v>
      </c>
    </row>
    <row r="10" spans="1:26" x14ac:dyDescent="0.2">
      <c r="A10" s="4">
        <v>32</v>
      </c>
      <c r="B10" s="4">
        <v>150000</v>
      </c>
      <c r="C10" s="8">
        <v>1</v>
      </c>
      <c r="E10" s="3">
        <v>25</v>
      </c>
      <c r="F10" s="3">
        <v>33000</v>
      </c>
      <c r="G10" s="9">
        <v>0</v>
      </c>
      <c r="I10" s="4">
        <v>46</v>
      </c>
      <c r="J10" s="4">
        <v>23000</v>
      </c>
      <c r="K10" s="10">
        <v>1</v>
      </c>
      <c r="P10" s="3">
        <v>25</v>
      </c>
      <c r="Q10" s="3">
        <v>33000</v>
      </c>
      <c r="R10" s="9">
        <v>0</v>
      </c>
      <c r="S10" s="18"/>
      <c r="T10" s="7">
        <v>25</v>
      </c>
      <c r="U10" s="3">
        <v>33000</v>
      </c>
      <c r="V10" s="9">
        <v>0</v>
      </c>
      <c r="X10" s="3">
        <v>35</v>
      </c>
      <c r="Y10" s="3">
        <v>20000</v>
      </c>
      <c r="Z10" s="9">
        <v>0</v>
      </c>
    </row>
    <row r="11" spans="1:26" x14ac:dyDescent="0.2">
      <c r="A11" s="3">
        <v>25</v>
      </c>
      <c r="B11" s="3">
        <v>33000</v>
      </c>
      <c r="C11" s="7">
        <v>0</v>
      </c>
      <c r="E11" s="3">
        <v>26</v>
      </c>
      <c r="F11" s="3">
        <v>80000</v>
      </c>
      <c r="G11" s="9">
        <v>0</v>
      </c>
      <c r="I11" s="4">
        <v>28</v>
      </c>
      <c r="J11" s="4">
        <v>44000</v>
      </c>
      <c r="K11" s="10">
        <v>0</v>
      </c>
      <c r="P11" s="3">
        <v>26</v>
      </c>
      <c r="Q11" s="3">
        <v>80000</v>
      </c>
      <c r="R11" s="9">
        <v>0</v>
      </c>
      <c r="S11" s="18"/>
      <c r="T11" s="7">
        <v>25</v>
      </c>
      <c r="U11" s="3">
        <v>79000</v>
      </c>
      <c r="V11" s="9">
        <v>0</v>
      </c>
      <c r="X11" s="3">
        <v>35</v>
      </c>
      <c r="Y11" s="3">
        <v>23000</v>
      </c>
      <c r="Z11" s="9">
        <v>0</v>
      </c>
    </row>
    <row r="12" spans="1:26" x14ac:dyDescent="0.2">
      <c r="A12" s="4">
        <v>35</v>
      </c>
      <c r="B12" s="4">
        <v>65000</v>
      </c>
      <c r="C12" s="8">
        <v>0</v>
      </c>
      <c r="E12" s="3">
        <v>20</v>
      </c>
      <c r="F12" s="3">
        <v>86000</v>
      </c>
      <c r="G12" s="9">
        <v>0</v>
      </c>
      <c r="I12" s="4">
        <v>35</v>
      </c>
      <c r="J12" s="4">
        <v>108000</v>
      </c>
      <c r="K12" s="10">
        <v>0</v>
      </c>
      <c r="P12" s="3">
        <v>20</v>
      </c>
      <c r="Q12" s="3">
        <v>86000</v>
      </c>
      <c r="R12" s="9">
        <v>0</v>
      </c>
      <c r="S12" s="18"/>
      <c r="T12" s="7">
        <v>26</v>
      </c>
      <c r="U12" s="3">
        <v>43000</v>
      </c>
      <c r="V12" s="9">
        <v>0</v>
      </c>
      <c r="X12" s="3">
        <v>35</v>
      </c>
      <c r="Y12" s="3">
        <v>27000</v>
      </c>
      <c r="Z12" s="9">
        <v>0</v>
      </c>
    </row>
    <row r="13" spans="1:26" x14ac:dyDescent="0.2">
      <c r="A13" s="3">
        <v>26</v>
      </c>
      <c r="B13" s="3">
        <v>80000</v>
      </c>
      <c r="C13" s="7">
        <v>0</v>
      </c>
      <c r="E13" s="3">
        <v>32</v>
      </c>
      <c r="F13" s="3">
        <v>18000</v>
      </c>
      <c r="G13" s="9">
        <v>0</v>
      </c>
      <c r="P13" s="3">
        <v>32</v>
      </c>
      <c r="Q13" s="3">
        <v>18000</v>
      </c>
      <c r="R13" s="9">
        <v>0</v>
      </c>
      <c r="S13" s="18"/>
      <c r="T13" s="7">
        <v>26</v>
      </c>
      <c r="U13" s="3">
        <v>72000</v>
      </c>
      <c r="V13" s="9">
        <v>0</v>
      </c>
      <c r="X13" s="3">
        <v>33</v>
      </c>
      <c r="Y13" s="3">
        <v>28000</v>
      </c>
      <c r="Z13" s="9">
        <v>0</v>
      </c>
    </row>
    <row r="14" spans="1:26" x14ac:dyDescent="0.2">
      <c r="A14" s="4">
        <v>26</v>
      </c>
      <c r="B14" s="4">
        <v>52000</v>
      </c>
      <c r="C14" s="8">
        <v>0</v>
      </c>
      <c r="E14" s="3">
        <v>46</v>
      </c>
      <c r="F14" s="3">
        <v>28000</v>
      </c>
      <c r="G14" s="9">
        <v>1</v>
      </c>
      <c r="I14" s="36" t="s">
        <v>8</v>
      </c>
      <c r="J14" s="36"/>
      <c r="K14" s="15" t="s">
        <v>9</v>
      </c>
      <c r="P14" s="3">
        <v>46</v>
      </c>
      <c r="Q14" s="3">
        <v>28000</v>
      </c>
      <c r="R14" s="9">
        <v>1</v>
      </c>
      <c r="S14" s="18"/>
      <c r="T14" s="7">
        <v>26</v>
      </c>
      <c r="U14" s="3">
        <v>80000</v>
      </c>
      <c r="V14" s="9">
        <v>0</v>
      </c>
      <c r="X14" s="3">
        <v>27</v>
      </c>
      <c r="Y14" s="3">
        <v>31000</v>
      </c>
      <c r="Z14" s="9">
        <v>0</v>
      </c>
    </row>
    <row r="15" spans="1:26" x14ac:dyDescent="0.2">
      <c r="A15" s="3">
        <v>20</v>
      </c>
      <c r="B15" s="3">
        <v>86000</v>
      </c>
      <c r="C15" s="7">
        <v>0</v>
      </c>
      <c r="E15" s="3">
        <v>48</v>
      </c>
      <c r="F15" s="3">
        <v>29000</v>
      </c>
      <c r="G15" s="9">
        <v>1</v>
      </c>
      <c r="P15" s="3">
        <v>48</v>
      </c>
      <c r="Q15" s="3">
        <v>29000</v>
      </c>
      <c r="R15" s="9">
        <v>1</v>
      </c>
      <c r="S15" s="18"/>
      <c r="T15" s="7">
        <v>27</v>
      </c>
      <c r="U15" s="3">
        <v>17000</v>
      </c>
      <c r="V15" s="9">
        <v>0</v>
      </c>
      <c r="X15" s="3">
        <v>24</v>
      </c>
      <c r="Y15" s="3">
        <v>32000</v>
      </c>
      <c r="Z15" s="9">
        <v>0</v>
      </c>
    </row>
    <row r="16" spans="1:26" x14ac:dyDescent="0.2">
      <c r="A16" s="3">
        <v>32</v>
      </c>
      <c r="B16" s="3">
        <v>18000</v>
      </c>
      <c r="C16" s="7">
        <v>0</v>
      </c>
      <c r="E16" s="3">
        <v>45</v>
      </c>
      <c r="F16" s="3">
        <v>22000</v>
      </c>
      <c r="G16" s="27">
        <v>1</v>
      </c>
      <c r="P16" s="3">
        <v>45</v>
      </c>
      <c r="Q16" s="3">
        <v>22000</v>
      </c>
      <c r="R16" s="9">
        <v>1</v>
      </c>
      <c r="S16" s="18"/>
      <c r="T16" s="7">
        <v>27</v>
      </c>
      <c r="U16" s="3">
        <v>31000</v>
      </c>
      <c r="V16" s="9">
        <v>0</v>
      </c>
      <c r="X16" s="3">
        <v>25</v>
      </c>
      <c r="Y16" s="3">
        <v>33000</v>
      </c>
      <c r="Z16" s="9">
        <v>0</v>
      </c>
    </row>
    <row r="17" spans="1:26" x14ac:dyDescent="0.2">
      <c r="A17" s="4">
        <v>18</v>
      </c>
      <c r="B17" s="4">
        <v>82000</v>
      </c>
      <c r="C17" s="8">
        <v>0</v>
      </c>
      <c r="E17" s="3">
        <v>47</v>
      </c>
      <c r="F17" s="3">
        <v>49000</v>
      </c>
      <c r="G17" s="27">
        <v>1</v>
      </c>
      <c r="P17" s="3">
        <v>47</v>
      </c>
      <c r="Q17" s="3">
        <v>49000</v>
      </c>
      <c r="R17" s="9">
        <v>1</v>
      </c>
      <c r="S17" s="18"/>
      <c r="T17" s="7">
        <v>27</v>
      </c>
      <c r="U17" s="3">
        <v>54000</v>
      </c>
      <c r="V17" s="9">
        <v>0</v>
      </c>
      <c r="X17" s="3">
        <v>26</v>
      </c>
      <c r="Y17" s="3">
        <v>43000</v>
      </c>
      <c r="Z17" s="9">
        <v>0</v>
      </c>
    </row>
    <row r="18" spans="1:26" x14ac:dyDescent="0.2">
      <c r="A18" s="4">
        <v>29</v>
      </c>
      <c r="B18" s="4">
        <v>80000</v>
      </c>
      <c r="C18" s="8">
        <v>0</v>
      </c>
      <c r="E18" s="3">
        <v>48</v>
      </c>
      <c r="F18" s="3">
        <v>41000</v>
      </c>
      <c r="G18" s="27">
        <v>1</v>
      </c>
      <c r="P18" s="3">
        <v>48</v>
      </c>
      <c r="Q18" s="3">
        <v>41000</v>
      </c>
      <c r="R18" s="9">
        <v>1</v>
      </c>
      <c r="S18" s="18"/>
      <c r="T18" s="7">
        <v>27</v>
      </c>
      <c r="U18" s="3">
        <v>57000</v>
      </c>
      <c r="V18" s="9">
        <v>0</v>
      </c>
      <c r="X18" s="3">
        <v>29</v>
      </c>
      <c r="Y18" s="3">
        <v>43000</v>
      </c>
      <c r="Z18" s="9">
        <v>0</v>
      </c>
    </row>
    <row r="19" spans="1:26" ht="12.75" customHeight="1" x14ac:dyDescent="0.2">
      <c r="A19" s="4">
        <v>47</v>
      </c>
      <c r="B19" s="4">
        <v>25000</v>
      </c>
      <c r="C19" s="8">
        <v>1</v>
      </c>
      <c r="E19" s="3">
        <v>45</v>
      </c>
      <c r="F19" s="3">
        <v>22000</v>
      </c>
      <c r="G19" s="27">
        <v>1</v>
      </c>
      <c r="I19" s="28"/>
      <c r="J19" s="28"/>
      <c r="K19" s="28"/>
      <c r="P19" s="3">
        <v>45</v>
      </c>
      <c r="Q19" s="3">
        <v>22000</v>
      </c>
      <c r="R19" s="9">
        <v>1</v>
      </c>
      <c r="S19" s="18"/>
      <c r="T19" s="7">
        <v>27</v>
      </c>
      <c r="U19" s="3">
        <v>58000</v>
      </c>
      <c r="V19" s="9">
        <v>0</v>
      </c>
      <c r="X19" s="3">
        <v>18</v>
      </c>
      <c r="Y19" s="3">
        <v>44000</v>
      </c>
      <c r="Z19" s="9">
        <v>0</v>
      </c>
    </row>
    <row r="20" spans="1:26" ht="18" customHeight="1" x14ac:dyDescent="0.2">
      <c r="A20" s="4">
        <v>45</v>
      </c>
      <c r="B20" s="4">
        <v>26000</v>
      </c>
      <c r="C20" s="8">
        <v>1</v>
      </c>
      <c r="E20" s="3">
        <v>29</v>
      </c>
      <c r="F20" s="3">
        <v>43000</v>
      </c>
      <c r="G20" s="27">
        <v>0</v>
      </c>
      <c r="I20" s="28"/>
      <c r="J20" s="28"/>
      <c r="K20" s="28"/>
      <c r="P20" s="3">
        <v>29</v>
      </c>
      <c r="Q20" s="3">
        <v>43000</v>
      </c>
      <c r="R20" s="9">
        <v>0</v>
      </c>
      <c r="S20" s="18"/>
      <c r="T20" s="7">
        <v>27</v>
      </c>
      <c r="U20" s="3">
        <v>58000</v>
      </c>
      <c r="V20" s="9">
        <v>0</v>
      </c>
      <c r="X20" s="3">
        <v>30</v>
      </c>
      <c r="Y20" s="3">
        <v>49000</v>
      </c>
      <c r="Z20" s="9">
        <v>0</v>
      </c>
    </row>
    <row r="21" spans="1:26" x14ac:dyDescent="0.2">
      <c r="A21" s="3">
        <v>46</v>
      </c>
      <c r="B21" s="3">
        <v>28000</v>
      </c>
      <c r="C21" s="7">
        <v>1</v>
      </c>
      <c r="E21" s="3">
        <v>31</v>
      </c>
      <c r="F21" s="3">
        <v>18000</v>
      </c>
      <c r="G21" s="27">
        <v>0</v>
      </c>
      <c r="I21" s="17"/>
      <c r="J21" s="17"/>
      <c r="K21" s="17"/>
      <c r="P21" s="3">
        <v>31</v>
      </c>
      <c r="Q21" s="3">
        <v>18000</v>
      </c>
      <c r="R21" s="9">
        <v>0</v>
      </c>
      <c r="S21" s="18"/>
      <c r="T21" s="7">
        <v>27</v>
      </c>
      <c r="U21" s="3">
        <v>84000</v>
      </c>
      <c r="V21" s="9">
        <v>0</v>
      </c>
      <c r="X21" s="3">
        <v>33</v>
      </c>
      <c r="Y21" s="3">
        <v>51000</v>
      </c>
      <c r="Z21" s="9">
        <v>0</v>
      </c>
    </row>
    <row r="22" spans="1:26" x14ac:dyDescent="0.2">
      <c r="A22" s="3">
        <v>48</v>
      </c>
      <c r="B22" s="3">
        <v>29000</v>
      </c>
      <c r="C22" s="7">
        <v>1</v>
      </c>
      <c r="E22" s="3">
        <v>31</v>
      </c>
      <c r="F22" s="3">
        <v>74000</v>
      </c>
      <c r="G22" s="27">
        <v>0</v>
      </c>
      <c r="K22" s="18"/>
      <c r="P22" s="3">
        <v>31</v>
      </c>
      <c r="Q22" s="3">
        <v>74000</v>
      </c>
      <c r="R22" s="9">
        <v>0</v>
      </c>
      <c r="S22" s="18"/>
      <c r="T22" s="7">
        <v>27</v>
      </c>
      <c r="U22" s="3">
        <v>90000</v>
      </c>
      <c r="V22" s="25">
        <v>1</v>
      </c>
      <c r="X22" s="3">
        <v>27</v>
      </c>
      <c r="Y22" s="3">
        <v>54000</v>
      </c>
      <c r="Z22" s="9">
        <v>0</v>
      </c>
    </row>
    <row r="23" spans="1:26" x14ac:dyDescent="0.2">
      <c r="A23" s="3">
        <v>45</v>
      </c>
      <c r="B23" s="3">
        <v>22000</v>
      </c>
      <c r="C23" s="7">
        <v>1</v>
      </c>
      <c r="E23" s="3">
        <v>21</v>
      </c>
      <c r="F23" s="3">
        <v>16000</v>
      </c>
      <c r="G23" s="27">
        <v>0</v>
      </c>
      <c r="K23" s="18"/>
      <c r="P23" s="3">
        <v>21</v>
      </c>
      <c r="Q23" s="3">
        <v>16000</v>
      </c>
      <c r="R23" s="9">
        <v>0</v>
      </c>
      <c r="S23" s="18"/>
      <c r="T23" s="7">
        <v>28</v>
      </c>
      <c r="U23" s="3">
        <v>84000</v>
      </c>
      <c r="V23" s="9">
        <v>0</v>
      </c>
      <c r="X23" s="3">
        <v>27</v>
      </c>
      <c r="Y23" s="3">
        <v>57000</v>
      </c>
      <c r="Z23" s="9">
        <v>0</v>
      </c>
    </row>
    <row r="24" spans="1:26" x14ac:dyDescent="0.2">
      <c r="A24" s="3">
        <v>47</v>
      </c>
      <c r="B24" s="3">
        <v>49000</v>
      </c>
      <c r="C24" s="7">
        <v>1</v>
      </c>
      <c r="E24" s="3">
        <v>27</v>
      </c>
      <c r="F24" s="3">
        <v>90000</v>
      </c>
      <c r="G24" s="27">
        <v>1</v>
      </c>
      <c r="K24" s="18"/>
      <c r="P24" s="3">
        <v>27</v>
      </c>
      <c r="Q24" s="3">
        <v>90000</v>
      </c>
      <c r="R24" s="9">
        <v>1</v>
      </c>
      <c r="S24" s="18"/>
      <c r="T24" s="7">
        <v>29</v>
      </c>
      <c r="U24" s="3">
        <v>43000</v>
      </c>
      <c r="V24" s="9">
        <v>0</v>
      </c>
      <c r="X24" s="3">
        <v>27</v>
      </c>
      <c r="Y24" s="3">
        <v>58000</v>
      </c>
      <c r="Z24" s="9">
        <v>0</v>
      </c>
    </row>
    <row r="25" spans="1:26" x14ac:dyDescent="0.2">
      <c r="A25" s="3">
        <v>48</v>
      </c>
      <c r="B25" s="3">
        <v>41000</v>
      </c>
      <c r="C25" s="7">
        <v>1</v>
      </c>
      <c r="E25" s="3">
        <v>35</v>
      </c>
      <c r="F25" s="3">
        <v>27000</v>
      </c>
      <c r="G25" s="27">
        <v>0</v>
      </c>
      <c r="K25" s="18"/>
      <c r="P25" s="3">
        <v>35</v>
      </c>
      <c r="Q25" s="3">
        <v>27000</v>
      </c>
      <c r="R25" s="9">
        <v>0</v>
      </c>
      <c r="S25" s="18"/>
      <c r="T25" s="7">
        <v>29</v>
      </c>
      <c r="U25" s="3">
        <v>83000</v>
      </c>
      <c r="V25" s="9">
        <v>0</v>
      </c>
      <c r="X25" s="3">
        <v>27</v>
      </c>
      <c r="Y25" s="3">
        <v>58000</v>
      </c>
      <c r="Z25" s="9">
        <v>0</v>
      </c>
    </row>
    <row r="26" spans="1:26" x14ac:dyDescent="0.2">
      <c r="A26" s="3">
        <v>45</v>
      </c>
      <c r="B26" s="3">
        <v>22000</v>
      </c>
      <c r="C26" s="7">
        <v>1</v>
      </c>
      <c r="E26" s="3">
        <v>33</v>
      </c>
      <c r="F26" s="3">
        <v>28000</v>
      </c>
      <c r="G26" s="27">
        <v>0</v>
      </c>
      <c r="K26" s="18"/>
      <c r="P26" s="3">
        <v>33</v>
      </c>
      <c r="Q26" s="3">
        <v>28000</v>
      </c>
      <c r="R26" s="9">
        <v>0</v>
      </c>
      <c r="S26" s="18"/>
      <c r="T26" s="7">
        <v>30</v>
      </c>
      <c r="U26" s="3">
        <v>15000</v>
      </c>
      <c r="V26" s="9">
        <v>0</v>
      </c>
      <c r="X26" s="3">
        <v>26</v>
      </c>
      <c r="Y26" s="3">
        <v>72000</v>
      </c>
      <c r="Z26" s="9">
        <v>0</v>
      </c>
    </row>
    <row r="27" spans="1:26" x14ac:dyDescent="0.2">
      <c r="A27" s="4">
        <v>46</v>
      </c>
      <c r="B27" s="4">
        <v>23000</v>
      </c>
      <c r="C27" s="8">
        <v>1</v>
      </c>
      <c r="E27" s="3">
        <v>30</v>
      </c>
      <c r="F27" s="3">
        <v>49000</v>
      </c>
      <c r="G27" s="27">
        <v>0</v>
      </c>
      <c r="K27" s="18"/>
      <c r="P27" s="3">
        <v>30</v>
      </c>
      <c r="Q27" s="3">
        <v>49000</v>
      </c>
      <c r="R27" s="9">
        <v>0</v>
      </c>
      <c r="S27" s="18"/>
      <c r="T27" s="7">
        <v>30</v>
      </c>
      <c r="U27" s="3">
        <v>49000</v>
      </c>
      <c r="V27" s="9">
        <v>0</v>
      </c>
      <c r="X27" s="3">
        <v>31</v>
      </c>
      <c r="Y27" s="3">
        <v>74000</v>
      </c>
      <c r="Z27" s="9">
        <v>0</v>
      </c>
    </row>
    <row r="28" spans="1:26" x14ac:dyDescent="0.2">
      <c r="A28" s="3">
        <v>29</v>
      </c>
      <c r="B28" s="3">
        <v>43000</v>
      </c>
      <c r="C28" s="7">
        <v>0</v>
      </c>
      <c r="E28" s="3">
        <v>26</v>
      </c>
      <c r="F28" s="3">
        <v>72000</v>
      </c>
      <c r="G28" s="27">
        <v>0</v>
      </c>
      <c r="K28" s="18"/>
      <c r="P28" s="3">
        <v>26</v>
      </c>
      <c r="Q28" s="3">
        <v>72000</v>
      </c>
      <c r="R28" s="9">
        <v>0</v>
      </c>
      <c r="S28" s="18"/>
      <c r="T28" s="7">
        <v>31</v>
      </c>
      <c r="U28" s="3">
        <v>18000</v>
      </c>
      <c r="V28" s="9">
        <v>0</v>
      </c>
      <c r="X28" s="3">
        <v>19</v>
      </c>
      <c r="Y28" s="3">
        <v>76000</v>
      </c>
      <c r="Z28" s="9">
        <v>0</v>
      </c>
    </row>
    <row r="29" spans="1:26" x14ac:dyDescent="0.2">
      <c r="A29" s="3">
        <v>31</v>
      </c>
      <c r="B29" s="3">
        <v>18000</v>
      </c>
      <c r="C29" s="7">
        <v>0</v>
      </c>
      <c r="E29" s="3">
        <v>27</v>
      </c>
      <c r="F29" s="3">
        <v>31000</v>
      </c>
      <c r="G29" s="27">
        <v>0</v>
      </c>
      <c r="K29" s="18"/>
      <c r="P29" s="3">
        <v>27</v>
      </c>
      <c r="Q29" s="3">
        <v>31000</v>
      </c>
      <c r="R29" s="9">
        <v>0</v>
      </c>
      <c r="S29" s="18"/>
      <c r="T29" s="7">
        <v>31</v>
      </c>
      <c r="U29" s="3">
        <v>74000</v>
      </c>
      <c r="V29" s="9">
        <v>0</v>
      </c>
      <c r="X29" s="3">
        <v>25</v>
      </c>
      <c r="Y29" s="3">
        <v>79000</v>
      </c>
      <c r="Z29" s="9">
        <v>0</v>
      </c>
    </row>
    <row r="30" spans="1:26" x14ac:dyDescent="0.2">
      <c r="A30" s="3">
        <v>31</v>
      </c>
      <c r="B30" s="3">
        <v>74000</v>
      </c>
      <c r="C30" s="7">
        <v>0</v>
      </c>
      <c r="E30" s="3">
        <v>27</v>
      </c>
      <c r="F30" s="3">
        <v>17000</v>
      </c>
      <c r="G30" s="27">
        <v>0</v>
      </c>
      <c r="K30" s="18"/>
      <c r="P30" s="3">
        <v>27</v>
      </c>
      <c r="Q30" s="3">
        <v>17000</v>
      </c>
      <c r="R30" s="9">
        <v>0</v>
      </c>
      <c r="S30" s="18"/>
      <c r="T30" s="7">
        <v>31</v>
      </c>
      <c r="U30" s="3">
        <v>89000</v>
      </c>
      <c r="V30" s="25">
        <v>1</v>
      </c>
      <c r="X30" s="3">
        <v>26</v>
      </c>
      <c r="Y30" s="3">
        <v>80000</v>
      </c>
      <c r="Z30" s="9">
        <v>0</v>
      </c>
    </row>
    <row r="31" spans="1:26" x14ac:dyDescent="0.2">
      <c r="A31" s="3">
        <v>21</v>
      </c>
      <c r="B31" s="3">
        <v>16000</v>
      </c>
      <c r="C31" s="7">
        <v>0</v>
      </c>
      <c r="E31" s="3">
        <v>33</v>
      </c>
      <c r="F31" s="3">
        <v>51000</v>
      </c>
      <c r="G31" s="27">
        <v>0</v>
      </c>
      <c r="K31" s="18"/>
      <c r="P31" s="3">
        <v>33</v>
      </c>
      <c r="Q31" s="3">
        <v>51000</v>
      </c>
      <c r="R31" s="9">
        <v>0</v>
      </c>
      <c r="S31" s="18"/>
      <c r="T31" s="7">
        <v>32</v>
      </c>
      <c r="U31" s="3">
        <v>18000</v>
      </c>
      <c r="V31" s="9">
        <v>0</v>
      </c>
      <c r="X31" s="3">
        <v>29</v>
      </c>
      <c r="Y31" s="3">
        <v>83000</v>
      </c>
      <c r="Z31" s="9">
        <v>0</v>
      </c>
    </row>
    <row r="32" spans="1:26" x14ac:dyDescent="0.2">
      <c r="A32" s="4">
        <v>28</v>
      </c>
      <c r="B32" s="4">
        <v>44000</v>
      </c>
      <c r="C32" s="8">
        <v>0</v>
      </c>
      <c r="E32" s="3">
        <v>30</v>
      </c>
      <c r="F32" s="3">
        <v>15000</v>
      </c>
      <c r="G32" s="27">
        <v>0</v>
      </c>
      <c r="P32" s="3">
        <v>30</v>
      </c>
      <c r="Q32" s="3">
        <v>15000</v>
      </c>
      <c r="R32" s="9">
        <v>0</v>
      </c>
      <c r="S32" s="18"/>
      <c r="T32" s="7">
        <v>33</v>
      </c>
      <c r="U32" s="3">
        <v>28000</v>
      </c>
      <c r="V32" s="9">
        <v>0</v>
      </c>
      <c r="X32" s="3">
        <v>27</v>
      </c>
      <c r="Y32" s="3">
        <v>84000</v>
      </c>
      <c r="Z32" s="9">
        <v>0</v>
      </c>
    </row>
    <row r="33" spans="1:26" ht="20.25" x14ac:dyDescent="0.3">
      <c r="A33" s="3">
        <v>27</v>
      </c>
      <c r="B33" s="3">
        <v>90000</v>
      </c>
      <c r="C33" s="7">
        <v>1</v>
      </c>
      <c r="E33" s="3">
        <v>28</v>
      </c>
      <c r="F33" s="3">
        <v>84000</v>
      </c>
      <c r="G33" s="27">
        <v>0</v>
      </c>
      <c r="I33" s="26"/>
      <c r="P33" s="3">
        <v>28</v>
      </c>
      <c r="Q33" s="3">
        <v>84000</v>
      </c>
      <c r="R33" s="9">
        <v>0</v>
      </c>
      <c r="S33" s="18"/>
      <c r="T33" s="7">
        <v>33</v>
      </c>
      <c r="U33" s="3">
        <v>51000</v>
      </c>
      <c r="V33" s="9">
        <v>0</v>
      </c>
      <c r="X33" s="3">
        <v>28</v>
      </c>
      <c r="Y33" s="3">
        <v>84000</v>
      </c>
      <c r="Z33" s="9">
        <v>0</v>
      </c>
    </row>
    <row r="34" spans="1:26" ht="21" thickBot="1" x14ac:dyDescent="0.35">
      <c r="A34" s="3">
        <v>35</v>
      </c>
      <c r="B34" s="3">
        <v>27000</v>
      </c>
      <c r="C34" s="7">
        <v>0</v>
      </c>
      <c r="E34" s="3">
        <v>23</v>
      </c>
      <c r="F34" s="3">
        <v>20000</v>
      </c>
      <c r="G34" s="9">
        <v>0</v>
      </c>
      <c r="I34" s="26"/>
      <c r="P34" s="3">
        <v>23</v>
      </c>
      <c r="Q34" s="3">
        <v>20000</v>
      </c>
      <c r="R34" s="9">
        <v>0</v>
      </c>
      <c r="S34" s="18"/>
      <c r="T34" s="7">
        <v>35</v>
      </c>
      <c r="U34" s="3">
        <v>20000</v>
      </c>
      <c r="V34" s="9">
        <v>0</v>
      </c>
      <c r="X34" s="20">
        <v>20</v>
      </c>
      <c r="Y34" s="20">
        <v>86000</v>
      </c>
      <c r="Z34" s="21">
        <v>0</v>
      </c>
    </row>
    <row r="35" spans="1:26" ht="21" thickTop="1" x14ac:dyDescent="0.3">
      <c r="A35" s="3">
        <v>33</v>
      </c>
      <c r="B35" s="3">
        <v>28000</v>
      </c>
      <c r="C35" s="7">
        <v>0</v>
      </c>
      <c r="E35" s="3">
        <v>25</v>
      </c>
      <c r="F35" s="3">
        <v>79000</v>
      </c>
      <c r="G35" s="9">
        <v>0</v>
      </c>
      <c r="I35" s="26"/>
      <c r="P35" s="3">
        <v>25</v>
      </c>
      <c r="Q35" s="3">
        <v>79000</v>
      </c>
      <c r="R35" s="9">
        <v>0</v>
      </c>
      <c r="S35" s="18"/>
      <c r="T35" s="7">
        <v>35</v>
      </c>
      <c r="U35" s="3">
        <v>23000</v>
      </c>
      <c r="V35" s="9">
        <v>0</v>
      </c>
      <c r="X35" s="19">
        <v>31</v>
      </c>
      <c r="Y35" s="19">
        <v>89000</v>
      </c>
      <c r="Z35" s="22">
        <v>1</v>
      </c>
    </row>
    <row r="36" spans="1:26" ht="21" thickBot="1" x14ac:dyDescent="0.35">
      <c r="A36" s="3">
        <v>30</v>
      </c>
      <c r="B36" s="3">
        <v>49000</v>
      </c>
      <c r="C36" s="7">
        <v>0</v>
      </c>
      <c r="E36" s="3">
        <v>27</v>
      </c>
      <c r="F36" s="3">
        <v>54000</v>
      </c>
      <c r="G36" s="9">
        <v>0</v>
      </c>
      <c r="I36" s="26"/>
      <c r="P36" s="3">
        <v>27</v>
      </c>
      <c r="Q36" s="3">
        <v>54000</v>
      </c>
      <c r="R36" s="9">
        <v>0</v>
      </c>
      <c r="S36" s="18"/>
      <c r="T36" s="42">
        <v>35</v>
      </c>
      <c r="U36" s="20">
        <v>27000</v>
      </c>
      <c r="V36" s="21">
        <v>0</v>
      </c>
      <c r="X36" s="20">
        <v>27</v>
      </c>
      <c r="Y36" s="20">
        <v>90000</v>
      </c>
      <c r="Z36" s="24">
        <v>1</v>
      </c>
    </row>
    <row r="37" spans="1:26" ht="13.5" thickTop="1" x14ac:dyDescent="0.2">
      <c r="A37" s="3">
        <v>26</v>
      </c>
      <c r="B37" s="3">
        <v>72000</v>
      </c>
      <c r="C37" s="7">
        <v>0</v>
      </c>
      <c r="E37" s="3">
        <v>31</v>
      </c>
      <c r="F37" s="3">
        <v>89000</v>
      </c>
      <c r="G37" s="9">
        <v>1</v>
      </c>
      <c r="P37" s="3">
        <v>31</v>
      </c>
      <c r="Q37" s="3">
        <v>89000</v>
      </c>
      <c r="R37" s="9">
        <v>1</v>
      </c>
      <c r="S37" s="18"/>
      <c r="T37" s="43">
        <v>45</v>
      </c>
      <c r="U37" s="19">
        <v>22000</v>
      </c>
      <c r="V37" s="22">
        <v>1</v>
      </c>
    </row>
    <row r="38" spans="1:26" ht="20.25" x14ac:dyDescent="0.3">
      <c r="A38" s="3">
        <v>27</v>
      </c>
      <c r="B38" s="3">
        <v>31000</v>
      </c>
      <c r="C38" s="7">
        <v>0</v>
      </c>
      <c r="E38" s="3">
        <v>24</v>
      </c>
      <c r="F38" s="3">
        <v>32000</v>
      </c>
      <c r="G38" s="9">
        <v>0</v>
      </c>
      <c r="I38" s="26"/>
      <c r="P38" s="3">
        <v>24</v>
      </c>
      <c r="Q38" s="3">
        <v>32000</v>
      </c>
      <c r="R38" s="9">
        <v>0</v>
      </c>
      <c r="S38" s="18"/>
      <c r="T38" s="7">
        <v>45</v>
      </c>
      <c r="U38" s="3">
        <v>22000</v>
      </c>
      <c r="V38" s="23">
        <v>1</v>
      </c>
    </row>
    <row r="39" spans="1:26" ht="20.25" x14ac:dyDescent="0.3">
      <c r="A39" s="3">
        <v>27</v>
      </c>
      <c r="B39" s="3">
        <v>17000</v>
      </c>
      <c r="C39" s="7">
        <v>0</v>
      </c>
      <c r="E39" s="3">
        <v>18</v>
      </c>
      <c r="F39" s="3">
        <v>44000</v>
      </c>
      <c r="G39" s="9">
        <v>0</v>
      </c>
      <c r="I39" s="26"/>
      <c r="P39" s="3">
        <v>18</v>
      </c>
      <c r="Q39" s="3">
        <v>44000</v>
      </c>
      <c r="R39" s="9">
        <v>0</v>
      </c>
      <c r="S39" s="18"/>
      <c r="T39" s="7">
        <v>46</v>
      </c>
      <c r="U39" s="3">
        <v>28000</v>
      </c>
      <c r="V39" s="23">
        <v>1</v>
      </c>
    </row>
    <row r="40" spans="1:26" ht="20.25" x14ac:dyDescent="0.3">
      <c r="A40" s="3">
        <v>33</v>
      </c>
      <c r="B40" s="3">
        <v>51000</v>
      </c>
      <c r="C40" s="7">
        <v>0</v>
      </c>
      <c r="E40" s="3">
        <v>29</v>
      </c>
      <c r="F40" s="3">
        <v>83000</v>
      </c>
      <c r="G40" s="9">
        <v>0</v>
      </c>
      <c r="I40" s="26"/>
      <c r="P40" s="3">
        <v>29</v>
      </c>
      <c r="Q40" s="3">
        <v>83000</v>
      </c>
      <c r="R40" s="9">
        <v>0</v>
      </c>
      <c r="S40" s="18"/>
      <c r="T40" s="7">
        <v>47</v>
      </c>
      <c r="U40" s="3">
        <v>49000</v>
      </c>
      <c r="V40" s="23">
        <v>1</v>
      </c>
    </row>
    <row r="41" spans="1:26" x14ac:dyDescent="0.2">
      <c r="A41" s="4">
        <v>35</v>
      </c>
      <c r="B41" s="4">
        <v>108000</v>
      </c>
      <c r="C41" s="8">
        <v>0</v>
      </c>
      <c r="E41" s="3">
        <v>35</v>
      </c>
      <c r="F41" s="3">
        <v>23000</v>
      </c>
      <c r="G41" s="9">
        <v>0</v>
      </c>
      <c r="P41" s="3">
        <v>35</v>
      </c>
      <c r="Q41" s="3">
        <v>23000</v>
      </c>
      <c r="R41" s="9">
        <v>0</v>
      </c>
      <c r="S41" s="18"/>
      <c r="T41" s="7">
        <v>48</v>
      </c>
      <c r="U41" s="3">
        <v>29000</v>
      </c>
      <c r="V41" s="23">
        <v>1</v>
      </c>
    </row>
    <row r="42" spans="1:26" x14ac:dyDescent="0.2">
      <c r="A42" s="3">
        <v>30</v>
      </c>
      <c r="B42" s="3">
        <v>15000</v>
      </c>
      <c r="C42" s="7">
        <v>0</v>
      </c>
      <c r="E42" s="3">
        <v>27</v>
      </c>
      <c r="F42" s="3">
        <v>58000</v>
      </c>
      <c r="G42" s="9">
        <v>0</v>
      </c>
      <c r="P42" s="3">
        <v>27</v>
      </c>
      <c r="Q42" s="3">
        <v>58000</v>
      </c>
      <c r="R42" s="9">
        <v>0</v>
      </c>
      <c r="S42" s="18"/>
      <c r="T42" s="7">
        <v>48</v>
      </c>
      <c r="U42" s="3">
        <v>41000</v>
      </c>
      <c r="V42" s="23">
        <v>1</v>
      </c>
    </row>
    <row r="43" spans="1:26" x14ac:dyDescent="0.2">
      <c r="A43" s="3">
        <v>28</v>
      </c>
      <c r="B43" s="3">
        <v>84000</v>
      </c>
      <c r="C43" s="7">
        <v>0</v>
      </c>
    </row>
    <row r="44" spans="1:26" x14ac:dyDescent="0.2">
      <c r="A44" s="3">
        <v>23</v>
      </c>
      <c r="B44" s="3">
        <v>20000</v>
      </c>
      <c r="C44" s="7">
        <v>0</v>
      </c>
      <c r="E44" t="s">
        <v>3</v>
      </c>
    </row>
    <row r="45" spans="1:26" x14ac:dyDescent="0.2">
      <c r="A45" s="3">
        <v>25</v>
      </c>
      <c r="B45" s="3">
        <v>79000</v>
      </c>
      <c r="C45" s="7">
        <v>0</v>
      </c>
    </row>
    <row r="46" spans="1:26" x14ac:dyDescent="0.2">
      <c r="A46" s="3">
        <v>27</v>
      </c>
      <c r="B46" s="3">
        <v>54000</v>
      </c>
      <c r="C46" s="7">
        <v>0</v>
      </c>
      <c r="E46" s="37" t="s">
        <v>7</v>
      </c>
      <c r="F46" s="38"/>
      <c r="G46" s="16" t="s">
        <v>10</v>
      </c>
    </row>
    <row r="47" spans="1:26" x14ac:dyDescent="0.2">
      <c r="A47" s="3">
        <v>31</v>
      </c>
      <c r="B47" s="3">
        <v>89000</v>
      </c>
      <c r="C47" s="7">
        <v>1</v>
      </c>
    </row>
    <row r="48" spans="1:26" x14ac:dyDescent="0.2">
      <c r="A48" s="3">
        <v>24</v>
      </c>
      <c r="B48" s="3">
        <v>32000</v>
      </c>
      <c r="C48" s="7">
        <v>0</v>
      </c>
    </row>
    <row r="49" spans="1:23" x14ac:dyDescent="0.2">
      <c r="A49" s="3">
        <v>18</v>
      </c>
      <c r="B49" s="3">
        <v>44000</v>
      </c>
      <c r="C49" s="7">
        <v>0</v>
      </c>
      <c r="E49" t="s">
        <v>11</v>
      </c>
    </row>
    <row r="50" spans="1:23" x14ac:dyDescent="0.2">
      <c r="A50" s="3">
        <v>29</v>
      </c>
      <c r="B50" s="3">
        <v>83000</v>
      </c>
      <c r="C50" s="7">
        <v>0</v>
      </c>
    </row>
    <row r="51" spans="1:23" x14ac:dyDescent="0.2">
      <c r="A51" s="3">
        <v>35</v>
      </c>
      <c r="B51" s="3">
        <v>23000</v>
      </c>
      <c r="C51" s="7">
        <v>0</v>
      </c>
    </row>
    <row r="52" spans="1:23" x14ac:dyDescent="0.2">
      <c r="A52" s="3">
        <v>27</v>
      </c>
      <c r="B52" s="3">
        <v>58000</v>
      </c>
      <c r="C52" s="7">
        <v>0</v>
      </c>
    </row>
    <row r="56" spans="1:23" x14ac:dyDescent="0.2">
      <c r="W56" t="s">
        <v>19</v>
      </c>
    </row>
    <row r="65" spans="19:25" x14ac:dyDescent="0.2">
      <c r="Y65" t="s">
        <v>14</v>
      </c>
    </row>
    <row r="66" spans="19:25" x14ac:dyDescent="0.2">
      <c r="S66" t="s">
        <v>17</v>
      </c>
    </row>
    <row r="68" spans="19:25" ht="38.25" x14ac:dyDescent="0.2">
      <c r="S68" s="6" t="s">
        <v>4</v>
      </c>
      <c r="T68" s="6" t="s">
        <v>5</v>
      </c>
      <c r="U68" s="11" t="s">
        <v>6</v>
      </c>
      <c r="V68" s="39" t="s">
        <v>18</v>
      </c>
    </row>
    <row r="69" spans="19:25" x14ac:dyDescent="0.2">
      <c r="S69" s="4">
        <v>32</v>
      </c>
      <c r="T69" s="4">
        <v>150000</v>
      </c>
      <c r="U69" s="10">
        <v>1</v>
      </c>
      <c r="V69" s="44">
        <v>1</v>
      </c>
      <c r="W69" t="b">
        <f>V69=U69</f>
        <v>1</v>
      </c>
    </row>
    <row r="70" spans="19:25" x14ac:dyDescent="0.2">
      <c r="S70" s="4">
        <v>35</v>
      </c>
      <c r="T70" s="4">
        <v>65000</v>
      </c>
      <c r="U70" s="10">
        <v>0</v>
      </c>
      <c r="V70" s="44">
        <v>0</v>
      </c>
      <c r="W70" t="b">
        <f t="shared" ref="W70:W78" si="0">V70=U70</f>
        <v>1</v>
      </c>
    </row>
    <row r="71" spans="19:25" x14ac:dyDescent="0.2">
      <c r="S71" s="4">
        <v>26</v>
      </c>
      <c r="T71" s="4">
        <v>52000</v>
      </c>
      <c r="U71" s="10">
        <v>0</v>
      </c>
      <c r="V71" s="44">
        <v>0</v>
      </c>
      <c r="W71" t="b">
        <f t="shared" si="0"/>
        <v>1</v>
      </c>
    </row>
    <row r="72" spans="19:25" x14ac:dyDescent="0.2">
      <c r="S72" s="4">
        <v>18</v>
      </c>
      <c r="T72" s="4">
        <v>82000</v>
      </c>
      <c r="U72" s="10">
        <v>0</v>
      </c>
      <c r="V72" s="44">
        <v>0</v>
      </c>
      <c r="W72" t="b">
        <f t="shared" si="0"/>
        <v>1</v>
      </c>
    </row>
    <row r="73" spans="19:25" x14ac:dyDescent="0.2">
      <c r="S73" s="4">
        <v>29</v>
      </c>
      <c r="T73" s="4">
        <v>80000</v>
      </c>
      <c r="U73" s="10">
        <v>0</v>
      </c>
      <c r="V73" s="44">
        <v>0</v>
      </c>
      <c r="W73" t="b">
        <f t="shared" si="0"/>
        <v>1</v>
      </c>
    </row>
    <row r="74" spans="19:25" x14ac:dyDescent="0.2">
      <c r="S74" s="4">
        <v>47</v>
      </c>
      <c r="T74" s="4">
        <v>25000</v>
      </c>
      <c r="U74" s="10">
        <v>1</v>
      </c>
      <c r="V74" s="44">
        <v>1</v>
      </c>
      <c r="W74" t="b">
        <f t="shared" si="0"/>
        <v>1</v>
      </c>
    </row>
    <row r="75" spans="19:25" x14ac:dyDescent="0.2">
      <c r="S75" s="4">
        <v>45</v>
      </c>
      <c r="T75" s="4">
        <v>26000</v>
      </c>
      <c r="U75" s="10">
        <v>1</v>
      </c>
      <c r="V75" s="44">
        <v>1</v>
      </c>
      <c r="W75" t="b">
        <f t="shared" si="0"/>
        <v>1</v>
      </c>
    </row>
    <row r="76" spans="19:25" x14ac:dyDescent="0.2">
      <c r="S76" s="4">
        <v>46</v>
      </c>
      <c r="T76" s="4">
        <v>23000</v>
      </c>
      <c r="U76" s="10">
        <v>1</v>
      </c>
      <c r="V76" s="44">
        <v>1</v>
      </c>
      <c r="W76" t="b">
        <f t="shared" si="0"/>
        <v>1</v>
      </c>
    </row>
    <row r="77" spans="19:25" x14ac:dyDescent="0.2">
      <c r="S77" s="4">
        <v>28</v>
      </c>
      <c r="T77" s="4">
        <v>44000</v>
      </c>
      <c r="U77" s="10">
        <v>0</v>
      </c>
      <c r="V77" s="44">
        <v>0</v>
      </c>
      <c r="W77" t="b">
        <f t="shared" si="0"/>
        <v>1</v>
      </c>
    </row>
    <row r="78" spans="19:25" x14ac:dyDescent="0.2">
      <c r="S78" s="4">
        <v>35</v>
      </c>
      <c r="T78" s="4">
        <v>108000</v>
      </c>
      <c r="U78" s="10">
        <v>0</v>
      </c>
      <c r="V78" s="44">
        <v>1</v>
      </c>
      <c r="W78" t="b">
        <f t="shared" si="0"/>
        <v>0</v>
      </c>
    </row>
    <row r="80" spans="19:25" x14ac:dyDescent="0.2">
      <c r="W80" s="29">
        <f>COUNTIF(W69:W78,TRUE)/COUNTA(W69:W78)*100</f>
        <v>90</v>
      </c>
      <c r="X80" t="s">
        <v>16</v>
      </c>
    </row>
  </sheetData>
  <autoFilter ref="X2:Z2" xr:uid="{83C9CE59-21CC-4028-A94A-B5A4652F0F29}"/>
  <sortState xmlns:xlrd2="http://schemas.microsoft.com/office/spreadsheetml/2017/richdata2" ref="R3:S42">
    <sortCondition ref="R3:R42"/>
  </sortState>
  <mergeCells count="8">
    <mergeCell ref="I14:J14"/>
    <mergeCell ref="E46:F46"/>
    <mergeCell ref="P1:R1"/>
    <mergeCell ref="T1:V1"/>
    <mergeCell ref="X1:Z1"/>
    <mergeCell ref="A1:C1"/>
    <mergeCell ref="E1:G1"/>
    <mergeCell ref="I1:K1"/>
  </mergeCells>
  <pageMargins left="0.7" right="0.7" top="0.75" bottom="0.75" header="0.3" footer="0.3"/>
  <pageSetup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BE10C52C7564DA13259294D293F6C" ma:contentTypeVersion="7" ma:contentTypeDescription="Create a new document." ma:contentTypeScope="" ma:versionID="afe0d563c44f6c4e9179a6bd38b4c76b">
  <xsd:schema xmlns:xsd="http://www.w3.org/2001/XMLSchema" xmlns:xs="http://www.w3.org/2001/XMLSchema" xmlns:p="http://schemas.microsoft.com/office/2006/metadata/properties" xmlns:ns2="f94f775f-f81c-4e8c-b1eb-ad17315b10bf" targetNamespace="http://schemas.microsoft.com/office/2006/metadata/properties" ma:root="true" ma:fieldsID="82aa4a783312aaba5acc07a600505328" ns2:_="">
    <xsd:import namespace="f94f775f-f81c-4e8c-b1eb-ad17315b1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775f-f81c-4e8c-b1eb-ad17315b10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611304-CA19-4FEE-B45E-49A6AFEB8CB0}"/>
</file>

<file path=customXml/itemProps2.xml><?xml version="1.0" encoding="utf-8"?>
<ds:datastoreItem xmlns:ds="http://schemas.openxmlformats.org/officeDocument/2006/customXml" ds:itemID="{72C0DF30-F9CA-4B16-B23F-F90C09E42CF7}"/>
</file>

<file path=customXml/itemProps3.xml><?xml version="1.0" encoding="utf-8"?>
<ds:datastoreItem xmlns:ds="http://schemas.openxmlformats.org/officeDocument/2006/customXml" ds:itemID="{7429C27F-EFF8-43D8-B869-997703288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Split 1</vt:lpstr>
      <vt:lpstr>Split 2</vt:lpstr>
      <vt:lpstr>Decision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Woodland</cp:lastModifiedBy>
  <dcterms:created xsi:type="dcterms:W3CDTF">2022-08-03T22:28:48Z</dcterms:created>
  <dcterms:modified xsi:type="dcterms:W3CDTF">2025-11-15T00:44:21Z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0x01010041ABE10C52C7564DA13259294D293F6C</vt:lpwstr>
  </property>
</Properties>
</file>