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02b7ee24bb705b/Documents/1_RoboGarden/Instruction/Bootcamp/Week 3/"/>
    </mc:Choice>
  </mc:AlternateContent>
  <xr:revisionPtr revIDLastSave="225" documentId="8_{3D8A683E-FDE1-4B50-81F1-4E66D304ADB7}" xr6:coauthVersionLast="47" xr6:coauthVersionMax="47" xr10:uidLastSave="{B5FC4CCB-1C3B-4E76-94EE-2CB9B67BEDA1}"/>
  <bookViews>
    <workbookView xWindow="7635" yWindow="0" windowWidth="30150" windowHeight="18990" activeTab="1" xr2:uid="{63414A0D-F7E1-4EF4-BD00-A46EA972880C}"/>
  </bookViews>
  <sheets>
    <sheet name="Problem" sheetId="3" r:id="rId1"/>
    <sheet name="KNN Solution" sheetId="4" r:id="rId2"/>
  </sheets>
  <definedNames>
    <definedName name="_xlnm._FilterDatabase" localSheetId="1" hidden="1">'KNN Solution'!$K$14:$P$14</definedName>
    <definedName name="_xlnm._FilterDatabase" localSheetId="0" hidden="1">Problem!$A$3:$D$3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7" i="4" l="1"/>
  <c r="P9" i="4"/>
  <c r="P8" i="4"/>
  <c r="P6" i="4"/>
  <c r="P5" i="4"/>
  <c r="P4" i="4"/>
  <c r="P3" i="4"/>
</calcChain>
</file>

<file path=xl/sharedStrings.xml><?xml version="1.0" encoding="utf-8"?>
<sst xmlns="http://schemas.openxmlformats.org/spreadsheetml/2006/main" count="64" uniqueCount="30">
  <si>
    <t>ID</t>
  </si>
  <si>
    <t>Height</t>
  </si>
  <si>
    <t>Weight</t>
  </si>
  <si>
    <t>Age*</t>
  </si>
  <si>
    <t>* Graph coloured by age intervals</t>
  </si>
  <si>
    <t>blue &gt;= 40</t>
  </si>
  <si>
    <t>red &lt; 27</t>
  </si>
  <si>
    <t>28 &lt;= green &lt; 40</t>
  </si>
  <si>
    <t>?</t>
  </si>
  <si>
    <t>Choose n = 5:</t>
  </si>
  <si>
    <t>* calculate distance and sort, take n neighbours</t>
  </si>
  <si>
    <t>Distance</t>
  </si>
  <si>
    <t>Sorted by Distance and take 5 Neighbours:</t>
  </si>
  <si>
    <t>= ( 36+34+40+32+31 ) / 5</t>
  </si>
  <si>
    <t>= 34.6</t>
  </si>
  <si>
    <t>= 173 / 5</t>
  </si>
  <si>
    <t>Mouse Colour</t>
  </si>
  <si>
    <t>brown</t>
  </si>
  <si>
    <t>black</t>
  </si>
  <si>
    <t>white</t>
  </si>
  <si>
    <t>Regression:</t>
  </si>
  <si>
    <t>Classification:</t>
  </si>
  <si>
    <t>white = 1</t>
  </si>
  <si>
    <t>black = 3</t>
  </si>
  <si>
    <t>brown = 1</t>
  </si>
  <si>
    <t>Mouse is Black!</t>
  </si>
  <si>
    <t>Can we predict mouse age if we know it's height and weight?</t>
  </si>
  <si>
    <t>Choose n = 3:</t>
  </si>
  <si>
    <t>= ( 36+34+40 ) / 3</t>
  </si>
  <si>
    <t>= 110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</si>
</sst>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8C2C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0" xfId="0" quotePrefix="1"/>
    <xf numFmtId="2" fontId="1" fillId="5" borderId="1" xfId="0" applyNumberFormat="1" applyFont="1" applyFill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/>
    <xf numFmtId="2" fontId="1" fillId="4" borderId="1" xfId="0" applyNumberFormat="1" applyFont="1" applyFill="1" applyBorder="1"/>
    <xf numFmtId="2" fontId="0" fillId="0" borderId="0" xfId="0" applyNumberFormat="1"/>
    <xf numFmtId="0" fontId="0" fillId="0" borderId="0" xfId="0" quotePrefix="1" applyAlignment="1">
      <alignment horizontal="center"/>
    </xf>
    <xf numFmtId="0" fontId="1" fillId="0" borderId="0" xfId="0" quotePrefix="1" applyFont="1"/>
    <xf numFmtId="0" fontId="0" fillId="0" borderId="1" xfId="0" applyBorder="1"/>
    <xf numFmtId="0" fontId="0" fillId="0" borderId="2" xfId="0" applyBorder="1"/>
    <xf numFmtId="2" fontId="1" fillId="5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  <xf numFmtId="2" fontId="0" fillId="3" borderId="3" xfId="0" applyNumberFormat="1" applyFill="1" applyBorder="1"/>
    <xf numFmtId="2" fontId="0" fillId="4" borderId="3" xfId="0" applyNumberFormat="1" applyFill="1" applyBorder="1"/>
    <xf numFmtId="0" fontId="1" fillId="5" borderId="2" xfId="0" applyFont="1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1" fillId="0" borderId="4" xfId="0" applyFont="1" applyBorder="1" applyAlignment="1">
      <alignment horizontal="center" vertical="center"/>
    </xf>
    <xf numFmtId="0" fontId="0" fillId="4" borderId="5" xfId="0" applyFill="1" applyBorder="1"/>
    <xf numFmtId="0" fontId="0" fillId="5" borderId="6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0" borderId="0" xfId="0" applyFont="1"/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5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8165</xdr:colOff>
      <xdr:row>2</xdr:row>
      <xdr:rowOff>14925</xdr:rowOff>
    </xdr:from>
    <xdr:to>
      <xdr:col>9</xdr:col>
      <xdr:colOff>87087</xdr:colOff>
      <xdr:row>13</xdr:row>
      <xdr:rowOff>22</xdr:rowOff>
    </xdr:to>
    <xdr:pic>
      <xdr:nvPicPr>
        <xdr:cNvPr id="2" name="Picture 1" descr="Weight ">
          <a:extLst>
            <a:ext uri="{FF2B5EF4-FFF2-40B4-BE49-F238E27FC236}">
              <a16:creationId xmlns:a16="http://schemas.microsoft.com/office/drawing/2014/main" id="{43FBDC52-FEB7-4A0C-855B-7DB773596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704" y="175346"/>
          <a:ext cx="2525344" cy="1749729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57151</xdr:colOff>
      <xdr:row>1</xdr:row>
      <xdr:rowOff>53025</xdr:rowOff>
    </xdr:from>
    <xdr:to>
      <xdr:col>9</xdr:col>
      <xdr:colOff>136073</xdr:colOff>
      <xdr:row>11</xdr:row>
      <xdr:rowOff>38122</xdr:rowOff>
    </xdr:to>
    <xdr:pic>
      <xdr:nvPicPr>
        <xdr:cNvPr id="2" name="Picture 1" descr="Weight ">
          <a:extLst>
            <a:ext uri="{FF2B5EF4-FFF2-40B4-BE49-F238E27FC236}">
              <a16:creationId xmlns:a16="http://schemas.microsoft.com/office/drawing/2014/main" id="{C2EE4F8B-6DA4-4A63-A72D-4B4C88E6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6537" y="216311"/>
          <a:ext cx="2517322" cy="1781240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16331</xdr:colOff>
      <xdr:row>1</xdr:row>
      <xdr:rowOff>163287</xdr:rowOff>
    </xdr:from>
    <xdr:to>
      <xdr:col>8</xdr:col>
      <xdr:colOff>284775</xdr:colOff>
      <xdr:row>7</xdr:row>
      <xdr:rowOff>54429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2AD0D89-8C6C-6B62-A081-2130F0307D4B}"/>
            </a:ext>
          </a:extLst>
        </xdr:cNvPr>
        <xdr:cNvSpPr>
          <a:spLocks noChangeAspect="1"/>
        </xdr:cNvSpPr>
      </xdr:nvSpPr>
      <xdr:spPr>
        <a:xfrm>
          <a:off x="4484917" y="326573"/>
          <a:ext cx="878044" cy="1034142"/>
        </a:xfrm>
        <a:prstGeom prst="ellipse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3048-AD8D-4978-A472-531AA096BC32}">
  <dimension ref="A1:D19"/>
  <sheetViews>
    <sheetView topLeftCell="A2" zoomScale="190" zoomScaleNormal="190" workbookViewId="0">
      <selection activeCell="A17" sqref="A17"/>
    </sheetView>
  </sheetViews>
  <sheetFormatPr defaultRowHeight="12.75" x14ac:dyDescent="0.2"/>
  <cols>
    <col min="3" max="3" width="10.28515625" customWidth="1"/>
    <col min="4" max="4" width="11" customWidth="1"/>
  </cols>
  <sheetData>
    <row r="1" spans="1:4" x14ac:dyDescent="0.2">
      <c r="A1" t="s">
        <v>26</v>
      </c>
    </row>
    <row r="3" spans="1:4" x14ac:dyDescent="0.2">
      <c r="A3" s="1" t="s">
        <v>0</v>
      </c>
      <c r="B3" s="1" t="s">
        <v>1</v>
      </c>
      <c r="C3" s="1" t="s">
        <v>3</v>
      </c>
      <c r="D3" s="1" t="s">
        <v>2</v>
      </c>
    </row>
    <row r="4" spans="1:4" x14ac:dyDescent="0.2">
      <c r="A4" s="6">
        <v>1</v>
      </c>
      <c r="B4" s="7">
        <v>5</v>
      </c>
      <c r="C4" s="6">
        <v>45</v>
      </c>
      <c r="D4" s="6">
        <v>77</v>
      </c>
    </row>
    <row r="5" spans="1:4" x14ac:dyDescent="0.2">
      <c r="A5" s="2">
        <v>2</v>
      </c>
      <c r="B5" s="3">
        <v>5.1100000000000003</v>
      </c>
      <c r="C5" s="2">
        <v>26</v>
      </c>
      <c r="D5" s="2">
        <v>47</v>
      </c>
    </row>
    <row r="6" spans="1:4" x14ac:dyDescent="0.2">
      <c r="A6" s="4">
        <v>3</v>
      </c>
      <c r="B6" s="5">
        <v>5.6</v>
      </c>
      <c r="C6" s="4">
        <v>30</v>
      </c>
      <c r="D6" s="4">
        <v>55</v>
      </c>
    </row>
    <row r="7" spans="1:4" x14ac:dyDescent="0.2">
      <c r="A7" s="4">
        <v>4</v>
      </c>
      <c r="B7" s="5">
        <v>5.9</v>
      </c>
      <c r="C7" s="4">
        <v>34</v>
      </c>
      <c r="D7" s="4">
        <v>59</v>
      </c>
    </row>
    <row r="8" spans="1:4" x14ac:dyDescent="0.2">
      <c r="A8" s="6">
        <v>5</v>
      </c>
      <c r="B8" s="7">
        <v>4.8</v>
      </c>
      <c r="C8" s="6">
        <v>40</v>
      </c>
      <c r="D8" s="6">
        <v>72</v>
      </c>
    </row>
    <row r="9" spans="1:4" x14ac:dyDescent="0.2">
      <c r="A9" s="4">
        <v>6</v>
      </c>
      <c r="B9" s="5">
        <v>5.8</v>
      </c>
      <c r="C9" s="4">
        <v>36</v>
      </c>
      <c r="D9" s="4">
        <v>60</v>
      </c>
    </row>
    <row r="10" spans="1:4" x14ac:dyDescent="0.2">
      <c r="A10" s="2">
        <v>7</v>
      </c>
      <c r="B10" s="3">
        <v>5.3</v>
      </c>
      <c r="C10" s="2">
        <v>19</v>
      </c>
      <c r="D10" s="2">
        <v>40</v>
      </c>
    </row>
    <row r="11" spans="1:4" x14ac:dyDescent="0.2">
      <c r="A11" s="4">
        <v>8</v>
      </c>
      <c r="B11" s="5">
        <v>5.8</v>
      </c>
      <c r="C11" s="4">
        <v>28</v>
      </c>
      <c r="D11" s="4">
        <v>60</v>
      </c>
    </row>
    <row r="12" spans="1:4" x14ac:dyDescent="0.2">
      <c r="A12" s="2">
        <v>9</v>
      </c>
      <c r="B12" s="3">
        <v>5.5</v>
      </c>
      <c r="C12" s="2">
        <v>23</v>
      </c>
      <c r="D12" s="2">
        <v>45</v>
      </c>
    </row>
    <row r="13" spans="1:4" x14ac:dyDescent="0.2">
      <c r="A13" s="4">
        <v>10</v>
      </c>
      <c r="B13" s="5">
        <v>5.6</v>
      </c>
      <c r="C13" s="4">
        <v>32</v>
      </c>
      <c r="D13" s="4">
        <v>58</v>
      </c>
    </row>
    <row r="14" spans="1:4" x14ac:dyDescent="0.2">
      <c r="A14" s="8">
        <v>11</v>
      </c>
      <c r="B14" s="50">
        <v>5.5</v>
      </c>
      <c r="C14" s="9" t="s">
        <v>8</v>
      </c>
      <c r="D14" s="9">
        <v>65.2</v>
      </c>
    </row>
    <row r="16" spans="1:4" x14ac:dyDescent="0.2">
      <c r="A16" t="s">
        <v>4</v>
      </c>
    </row>
    <row r="17" spans="1:1" x14ac:dyDescent="0.2">
      <c r="A17" t="s">
        <v>6</v>
      </c>
    </row>
    <row r="18" spans="1:1" x14ac:dyDescent="0.2">
      <c r="A18" t="s">
        <v>7</v>
      </c>
    </row>
    <row r="19" spans="1:1" x14ac:dyDescent="0.2">
      <c r="A19" t="s">
        <v>5</v>
      </c>
    </row>
  </sheetData>
  <autoFilter ref="A3:D3" xr:uid="{98B87BD8-EF8B-4D8F-A6C4-F7B521ED6372}">
    <sortState xmlns:xlrd2="http://schemas.microsoft.com/office/spreadsheetml/2017/richdata2" ref="A4:D13">
      <sortCondition ref="A3"/>
    </sortState>
  </autoFilter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406D-D54E-45DE-BDA6-3179CA8E94D2}">
  <dimension ref="A2:P31"/>
  <sheetViews>
    <sheetView tabSelected="1" zoomScale="175" zoomScaleNormal="175" workbookViewId="0">
      <selection activeCell="E18" sqref="E17:E18"/>
    </sheetView>
  </sheetViews>
  <sheetFormatPr defaultRowHeight="12.75" x14ac:dyDescent="0.2"/>
  <cols>
    <col min="3" max="3" width="10.28515625" customWidth="1"/>
    <col min="4" max="4" width="11" customWidth="1"/>
    <col min="14" max="14" width="9.140625" customWidth="1"/>
  </cols>
  <sheetData>
    <row r="2" spans="1:16" ht="25.5" x14ac:dyDescent="0.2">
      <c r="A2" s="1" t="s">
        <v>0</v>
      </c>
      <c r="B2" s="1" t="s">
        <v>1</v>
      </c>
      <c r="C2" s="1" t="s">
        <v>3</v>
      </c>
      <c r="D2" s="1" t="s">
        <v>2</v>
      </c>
      <c r="K2" s="1" t="s">
        <v>0</v>
      </c>
      <c r="L2" s="1" t="s">
        <v>1</v>
      </c>
      <c r="M2" s="1" t="s">
        <v>3</v>
      </c>
      <c r="N2" s="49" t="s">
        <v>16</v>
      </c>
      <c r="O2" s="1" t="s">
        <v>2</v>
      </c>
      <c r="P2" s="1" t="s">
        <v>11</v>
      </c>
    </row>
    <row r="3" spans="1:16" x14ac:dyDescent="0.2">
      <c r="A3" s="2">
        <v>7</v>
      </c>
      <c r="B3" s="3">
        <v>5.3</v>
      </c>
      <c r="C3" s="2">
        <v>19</v>
      </c>
      <c r="D3" s="2">
        <v>40</v>
      </c>
      <c r="K3" s="27">
        <v>10</v>
      </c>
      <c r="L3" s="5">
        <v>5.6</v>
      </c>
      <c r="M3" s="4">
        <v>32</v>
      </c>
      <c r="N3" s="47" t="s">
        <v>18</v>
      </c>
      <c r="O3" s="4">
        <v>58</v>
      </c>
      <c r="P3" s="21">
        <f>SQRT(($O$7-O3)^2+($L$7-L3)^2)</f>
        <v>7.2006944109578788</v>
      </c>
    </row>
    <row r="4" spans="1:16" x14ac:dyDescent="0.2">
      <c r="A4" s="2">
        <v>9</v>
      </c>
      <c r="B4" s="3">
        <v>5.5</v>
      </c>
      <c r="C4" s="2">
        <v>23</v>
      </c>
      <c r="D4" s="2">
        <v>45</v>
      </c>
      <c r="K4" s="27">
        <v>4</v>
      </c>
      <c r="L4" s="5">
        <v>5.9</v>
      </c>
      <c r="M4" s="4">
        <v>34</v>
      </c>
      <c r="N4" s="47" t="s">
        <v>17</v>
      </c>
      <c r="O4" s="4">
        <v>59</v>
      </c>
      <c r="P4" s="21">
        <f>SQRT(($O$7-O4)^2+($L$7-L4)^2)</f>
        <v>6.2128898268036297</v>
      </c>
    </row>
    <row r="5" spans="1:16" x14ac:dyDescent="0.2">
      <c r="A5" s="2">
        <v>2</v>
      </c>
      <c r="B5" s="3">
        <v>5.1100000000000003</v>
      </c>
      <c r="C5" s="2">
        <v>26</v>
      </c>
      <c r="D5" s="2">
        <v>47</v>
      </c>
      <c r="K5" s="27">
        <v>6</v>
      </c>
      <c r="L5" s="5">
        <v>5.8</v>
      </c>
      <c r="M5" s="4">
        <v>36</v>
      </c>
      <c r="N5" s="47" t="s">
        <v>18</v>
      </c>
      <c r="O5" s="4">
        <v>60</v>
      </c>
      <c r="P5" s="21">
        <f>SQRT(($O$7-O5)^2+($L$7-L5)^2)</f>
        <v>5.2086466572421699</v>
      </c>
    </row>
    <row r="6" spans="1:16" x14ac:dyDescent="0.2">
      <c r="A6" s="4">
        <v>8</v>
      </c>
      <c r="B6" s="5">
        <v>5.8</v>
      </c>
      <c r="C6" s="4">
        <v>28</v>
      </c>
      <c r="D6" s="4">
        <v>60</v>
      </c>
      <c r="K6" s="27">
        <v>3</v>
      </c>
      <c r="L6" s="5">
        <v>5.59</v>
      </c>
      <c r="M6" s="4">
        <v>31</v>
      </c>
      <c r="N6" s="47" t="s">
        <v>19</v>
      </c>
      <c r="O6" s="4">
        <v>56</v>
      </c>
      <c r="P6" s="21">
        <f>SQRT(($O$7-O6)^2+($L$7-L6)^2)</f>
        <v>9.2004402068596729</v>
      </c>
    </row>
    <row r="7" spans="1:16" x14ac:dyDescent="0.2">
      <c r="A7" s="4">
        <v>3</v>
      </c>
      <c r="B7" s="5">
        <v>5.6</v>
      </c>
      <c r="C7" s="4">
        <v>30</v>
      </c>
      <c r="D7" s="4">
        <v>55</v>
      </c>
      <c r="K7" s="9">
        <v>11</v>
      </c>
      <c r="L7" s="23">
        <v>5.5</v>
      </c>
      <c r="M7" s="9" t="s">
        <v>8</v>
      </c>
      <c r="N7" s="9" t="s">
        <v>8</v>
      </c>
      <c r="O7" s="15">
        <v>65.2</v>
      </c>
      <c r="P7" s="21">
        <v>0</v>
      </c>
    </row>
    <row r="8" spans="1:16" x14ac:dyDescent="0.2">
      <c r="A8" s="12">
        <v>10</v>
      </c>
      <c r="B8" s="13">
        <v>5.6</v>
      </c>
      <c r="C8" s="12">
        <v>32</v>
      </c>
      <c r="D8" s="12">
        <v>58</v>
      </c>
      <c r="K8" s="28">
        <v>5</v>
      </c>
      <c r="L8" s="7">
        <v>4.8</v>
      </c>
      <c r="M8" s="6">
        <v>40</v>
      </c>
      <c r="N8" s="48" t="s">
        <v>18</v>
      </c>
      <c r="O8" s="6">
        <v>72</v>
      </c>
      <c r="P8" s="21">
        <f>SQRT(($O$7-O8)^2+($L$7-L8)^2)</f>
        <v>6.835934464285037</v>
      </c>
    </row>
    <row r="9" spans="1:16" x14ac:dyDescent="0.2">
      <c r="A9" s="12">
        <v>4</v>
      </c>
      <c r="B9" s="13">
        <v>5.9</v>
      </c>
      <c r="C9" s="12">
        <v>34</v>
      </c>
      <c r="D9" s="12">
        <v>59</v>
      </c>
      <c r="K9" s="28">
        <v>1</v>
      </c>
      <c r="L9" s="7">
        <v>5</v>
      </c>
      <c r="M9" s="6">
        <v>45</v>
      </c>
      <c r="N9" s="48" t="s">
        <v>17</v>
      </c>
      <c r="O9" s="6">
        <v>77</v>
      </c>
      <c r="P9" s="22">
        <f>SQRT(($O$7-O9)^2+($L$7-L9)^2)</f>
        <v>11.810588469674148</v>
      </c>
    </row>
    <row r="10" spans="1:16" x14ac:dyDescent="0.2">
      <c r="A10" s="12">
        <v>6</v>
      </c>
      <c r="B10" s="13">
        <v>5.8</v>
      </c>
      <c r="C10" s="12">
        <v>36</v>
      </c>
      <c r="D10" s="12">
        <v>60</v>
      </c>
    </row>
    <row r="11" spans="1:16" x14ac:dyDescent="0.2">
      <c r="A11" s="14">
        <v>11</v>
      </c>
      <c r="B11" s="23">
        <v>5.5</v>
      </c>
      <c r="C11" s="15" t="s">
        <v>8</v>
      </c>
      <c r="D11" s="15">
        <v>65.2</v>
      </c>
    </row>
    <row r="12" spans="1:16" x14ac:dyDescent="0.2">
      <c r="A12" s="16">
        <v>5</v>
      </c>
      <c r="B12" s="17">
        <v>4.8</v>
      </c>
      <c r="C12" s="16">
        <v>40</v>
      </c>
      <c r="D12" s="16">
        <v>72</v>
      </c>
    </row>
    <row r="13" spans="1:16" x14ac:dyDescent="0.2">
      <c r="A13" s="16">
        <v>1</v>
      </c>
      <c r="B13" s="17">
        <v>5</v>
      </c>
      <c r="C13" s="16">
        <v>45</v>
      </c>
      <c r="D13" s="16">
        <v>77</v>
      </c>
      <c r="K13" t="s">
        <v>12</v>
      </c>
    </row>
    <row r="14" spans="1:16" ht="26.25" thickBot="1" x14ac:dyDescent="0.25">
      <c r="K14" s="1" t="s">
        <v>0</v>
      </c>
      <c r="L14" s="1" t="s">
        <v>1</v>
      </c>
      <c r="M14" s="35" t="s">
        <v>3</v>
      </c>
      <c r="N14" s="49" t="s">
        <v>16</v>
      </c>
      <c r="O14" s="1" t="s">
        <v>2</v>
      </c>
      <c r="P14" s="1" t="s">
        <v>11</v>
      </c>
    </row>
    <row r="15" spans="1:16" x14ac:dyDescent="0.2">
      <c r="A15" t="s">
        <v>10</v>
      </c>
      <c r="E15" s="10"/>
      <c r="K15" s="25">
        <v>11</v>
      </c>
      <c r="L15" s="29">
        <v>5.5</v>
      </c>
      <c r="M15" s="37" t="s">
        <v>8</v>
      </c>
      <c r="N15" s="41" t="s">
        <v>8</v>
      </c>
      <c r="O15" s="32">
        <v>65.2</v>
      </c>
      <c r="P15" s="15">
        <v>0</v>
      </c>
    </row>
    <row r="16" spans="1:16" x14ac:dyDescent="0.2">
      <c r="K16" s="24">
        <v>6</v>
      </c>
      <c r="L16" s="30">
        <v>5.8</v>
      </c>
      <c r="M16" s="38">
        <v>36</v>
      </c>
      <c r="N16" s="43" t="s">
        <v>18</v>
      </c>
      <c r="O16" s="33">
        <v>60</v>
      </c>
      <c r="P16" s="4">
        <v>5.2086466572421699</v>
      </c>
    </row>
    <row r="17" spans="11:16" x14ac:dyDescent="0.2">
      <c r="K17" s="24">
        <v>4</v>
      </c>
      <c r="L17" s="30">
        <v>5.9</v>
      </c>
      <c r="M17" s="38">
        <v>34</v>
      </c>
      <c r="N17" s="43" t="s">
        <v>17</v>
      </c>
      <c r="O17" s="33">
        <v>59</v>
      </c>
      <c r="P17" s="4">
        <v>6.2128898268036297</v>
      </c>
    </row>
    <row r="18" spans="11:16" x14ac:dyDescent="0.2">
      <c r="K18" s="26">
        <v>5</v>
      </c>
      <c r="L18" s="31">
        <v>4.8</v>
      </c>
      <c r="M18" s="39">
        <v>40</v>
      </c>
      <c r="N18" s="44" t="s">
        <v>18</v>
      </c>
      <c r="O18" s="34">
        <v>72</v>
      </c>
      <c r="P18" s="6">
        <v>6.835934464285037</v>
      </c>
    </row>
    <row r="19" spans="11:16" x14ac:dyDescent="0.2">
      <c r="K19" s="24">
        <v>10</v>
      </c>
      <c r="L19" s="30">
        <v>5.6</v>
      </c>
      <c r="M19" s="38">
        <v>32</v>
      </c>
      <c r="N19" s="43" t="s">
        <v>18</v>
      </c>
      <c r="O19" s="33">
        <v>58</v>
      </c>
      <c r="P19" s="4">
        <v>7.2006944109578788</v>
      </c>
    </row>
    <row r="20" spans="11:16" ht="13.5" thickBot="1" x14ac:dyDescent="0.25">
      <c r="K20" s="24">
        <v>3</v>
      </c>
      <c r="L20" s="30">
        <v>5.59</v>
      </c>
      <c r="M20" s="40">
        <v>31</v>
      </c>
      <c r="N20" s="45" t="s">
        <v>19</v>
      </c>
      <c r="O20" s="33">
        <v>56</v>
      </c>
      <c r="P20" s="4">
        <v>9.2004402068596729</v>
      </c>
    </row>
    <row r="21" spans="11:16" x14ac:dyDescent="0.2">
      <c r="K21" s="26">
        <v>1</v>
      </c>
      <c r="L21" s="7">
        <v>5</v>
      </c>
      <c r="M21" s="36">
        <v>45</v>
      </c>
      <c r="N21" s="46" t="s">
        <v>17</v>
      </c>
      <c r="O21" s="6">
        <v>77</v>
      </c>
      <c r="P21" s="6">
        <v>11.810588469674148</v>
      </c>
    </row>
    <row r="23" spans="11:16" x14ac:dyDescent="0.2">
      <c r="K23" t="s">
        <v>20</v>
      </c>
      <c r="N23" t="s">
        <v>21</v>
      </c>
      <c r="P23" t="s">
        <v>20</v>
      </c>
    </row>
    <row r="24" spans="11:16" x14ac:dyDescent="0.2">
      <c r="K24" t="s">
        <v>9</v>
      </c>
      <c r="L24" s="18"/>
      <c r="N24" t="s">
        <v>9</v>
      </c>
      <c r="P24" t="s">
        <v>27</v>
      </c>
    </row>
    <row r="25" spans="11:16" x14ac:dyDescent="0.2">
      <c r="K25" s="10" t="s">
        <v>13</v>
      </c>
      <c r="L25" s="18"/>
      <c r="N25" t="s">
        <v>23</v>
      </c>
      <c r="P25" s="10" t="s">
        <v>28</v>
      </c>
    </row>
    <row r="26" spans="11:16" x14ac:dyDescent="0.2">
      <c r="K26" s="10" t="s">
        <v>15</v>
      </c>
      <c r="L26" s="18"/>
      <c r="N26" t="s">
        <v>24</v>
      </c>
      <c r="P26" s="10" t="s">
        <v>29</v>
      </c>
    </row>
    <row r="27" spans="11:16" x14ac:dyDescent="0.2">
      <c r="K27" s="20" t="s">
        <v>14</v>
      </c>
      <c r="L27" s="18"/>
      <c r="N27" t="s">
        <v>22</v>
      </c>
      <c r="P27" s="20">
        <f>110/3</f>
        <v>36.666666666666664</v>
      </c>
    </row>
    <row r="28" spans="11:16" x14ac:dyDescent="0.2">
      <c r="L28" s="18"/>
      <c r="N28" s="42" t="s">
        <v>25</v>
      </c>
    </row>
    <row r="29" spans="11:16" x14ac:dyDescent="0.2">
      <c r="L29" s="18"/>
      <c r="O29" s="19"/>
    </row>
    <row r="30" spans="11:16" x14ac:dyDescent="0.2">
      <c r="K30" s="1" t="s">
        <v>0</v>
      </c>
      <c r="L30" s="1" t="s">
        <v>1</v>
      </c>
      <c r="M30" s="1" t="s">
        <v>3</v>
      </c>
      <c r="N30" s="1"/>
      <c r="O30" s="1" t="s">
        <v>2</v>
      </c>
    </row>
    <row r="31" spans="11:16" x14ac:dyDescent="0.2">
      <c r="K31" s="8">
        <v>11</v>
      </c>
      <c r="L31" s="11">
        <v>5.5</v>
      </c>
      <c r="M31" s="8">
        <v>35</v>
      </c>
      <c r="N31" s="8"/>
      <c r="O31" s="15">
        <v>65.2</v>
      </c>
    </row>
  </sheetData>
  <autoFilter ref="K14:P14" xr:uid="{BAF1406D-D54E-45DE-BDA6-3179CA8E94D2}">
    <sortState xmlns:xlrd2="http://schemas.microsoft.com/office/spreadsheetml/2017/richdata2" ref="K15:P21">
      <sortCondition ref="P14"/>
    </sortState>
  </autoFilter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BE10C52C7564DA13259294D293F6C" ma:contentTypeVersion="7" ma:contentTypeDescription="Create a new document." ma:contentTypeScope="" ma:versionID="afe0d563c44f6c4e9179a6bd38b4c76b">
  <xsd:schema xmlns:xsd="http://www.w3.org/2001/XMLSchema" xmlns:xs="http://www.w3.org/2001/XMLSchema" xmlns:p="http://schemas.microsoft.com/office/2006/metadata/properties" xmlns:ns2="f94f775f-f81c-4e8c-b1eb-ad17315b10bf" targetNamespace="http://schemas.microsoft.com/office/2006/metadata/properties" ma:root="true" ma:fieldsID="82aa4a783312aaba5acc07a600505328" ns2:_="">
    <xsd:import namespace="f94f775f-f81c-4e8c-b1eb-ad17315b1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775f-f81c-4e8c-b1eb-ad17315b10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326BC9-422D-4CF8-BCF7-972EF1F302EB}"/>
</file>

<file path=customXml/itemProps2.xml><?xml version="1.0" encoding="utf-8"?>
<ds:datastoreItem xmlns:ds="http://schemas.openxmlformats.org/officeDocument/2006/customXml" ds:itemID="{930F20E0-F0EF-417D-9029-D21E374C0189}"/>
</file>

<file path=customXml/itemProps3.xml><?xml version="1.0" encoding="utf-8"?>
<ds:datastoreItem xmlns:ds="http://schemas.openxmlformats.org/officeDocument/2006/customXml" ds:itemID="{71956B3E-3D87-47BE-B466-9A6A4D484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KNN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Woodland</dc:creator>
  <cp:lastModifiedBy>Nicole Woodland</cp:lastModifiedBy>
  <dcterms:created xsi:type="dcterms:W3CDTF">2022-08-07T00:20:09Z</dcterms:created>
  <dcterms:modified xsi:type="dcterms:W3CDTF">2025-11-20T00:38:24Z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0x01010041ABE10C52C7564DA13259294D293F6C</vt:lpwstr>
  </property>
</Properties>
</file>