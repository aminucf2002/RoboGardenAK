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f02b7ee24bb705b/Documents/1_RoboGarden/Instruction/Bootcamp/Week 2/Oct 2025/"/>
    </mc:Choice>
  </mc:AlternateContent>
  <xr:revisionPtr revIDLastSave="47" documentId="8_{9E4D4413-D893-4963-8A03-9DD17F8132EF}" xr6:coauthVersionLast="47" xr6:coauthVersionMax="47" xr10:uidLastSave="{0FF7784E-8AC9-4C5D-9BB6-3B19B51EA89D}"/>
  <bookViews>
    <workbookView xWindow="12675" yWindow="255" windowWidth="25335" windowHeight="20880" xr2:uid="{D995EF1D-AE35-4AB0-B781-C11EBCBF40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4" i="1" l="1"/>
  <c r="A41" i="1"/>
  <c r="A36" i="1"/>
  <c r="A34" i="1"/>
  <c r="A33" i="1"/>
  <c r="A19" i="1"/>
  <c r="A20" i="1"/>
  <c r="A18" i="1"/>
  <c r="A1" i="1"/>
  <c r="A3" i="1"/>
  <c r="M22" i="1"/>
  <c r="M21" i="1"/>
  <c r="A65" i="1"/>
  <c r="A66" i="1"/>
  <c r="G37" i="1"/>
  <c r="G36" i="1"/>
  <c r="A46" i="1" l="1"/>
</calcChain>
</file>

<file path=xl/sharedStrings.xml><?xml version="1.0" encoding="utf-8"?>
<sst xmlns="http://schemas.openxmlformats.org/spreadsheetml/2006/main" count="22" uniqueCount="19">
  <si>
    <t>Total</t>
  </si>
  <si>
    <t>Gender</t>
  </si>
  <si>
    <t>Male</t>
  </si>
  <si>
    <t>Female</t>
  </si>
  <si>
    <t>Combined</t>
  </si>
  <si>
    <t>Split on Gender</t>
  </si>
  <si>
    <t>Split on Age</t>
  </si>
  <si>
    <t>Above 40</t>
  </si>
  <si>
    <t>Below 40</t>
  </si>
  <si>
    <t>16/50</t>
  </si>
  <si>
    <t>34/50</t>
  </si>
  <si>
    <t>Age</t>
  </si>
  <si>
    <t>Stick with gender!</t>
  </si>
  <si>
    <t>Gini Impurity</t>
  </si>
  <si>
    <t>Information Gain (Entropy Change) with Age</t>
  </si>
  <si>
    <t>Information Gain (Entropy Change) with Gender</t>
  </si>
  <si>
    <t>by age</t>
  </si>
  <si>
    <t>Not Have</t>
  </si>
  <si>
    <t>Have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</si>
</sst>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2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424543</xdr:colOff>
      <xdr:row>0</xdr:row>
      <xdr:rowOff>83216</xdr:rowOff>
    </xdr:from>
    <xdr:to>
      <xdr:col>10</xdr:col>
      <xdr:colOff>54429</xdr:colOff>
      <xdr:row>18</xdr:row>
      <xdr:rowOff>110188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44FBB2B-F2DE-B989-A9AD-FC16042CFF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53343" y="83216"/>
          <a:ext cx="3897086" cy="2966115"/>
        </a:xfrm>
        <a:prstGeom prst="rect">
          <a:avLst/>
        </a:prstGeom>
      </xdr:spPr>
    </xdr:pic>
    <xdr:clientData/>
  </xdr:twoCellAnchor>
  <xdr:twoCellAnchor editAs="oneCell">
    <xdr:from>
      <xdr:col>3</xdr:col>
      <xdr:colOff>598714</xdr:colOff>
      <xdr:row>18</xdr:row>
      <xdr:rowOff>29344</xdr:rowOff>
    </xdr:from>
    <xdr:to>
      <xdr:col>10</xdr:col>
      <xdr:colOff>445219</xdr:colOff>
      <xdr:row>34</xdr:row>
      <xdr:rowOff>10196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CE07F61-AD7A-A567-C4A6-487384E7E5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27514" y="2968487"/>
          <a:ext cx="4113705" cy="2593423"/>
        </a:xfrm>
        <a:prstGeom prst="rect">
          <a:avLst/>
        </a:prstGeom>
      </xdr:spPr>
    </xdr:pic>
    <xdr:clientData/>
  </xdr:twoCellAnchor>
  <xdr:twoCellAnchor editAs="oneCell">
    <xdr:from>
      <xdr:col>10</xdr:col>
      <xdr:colOff>152399</xdr:colOff>
      <xdr:row>6</xdr:row>
      <xdr:rowOff>157844</xdr:rowOff>
    </xdr:from>
    <xdr:to>
      <xdr:col>13</xdr:col>
      <xdr:colOff>543234</xdr:colOff>
      <xdr:row>12</xdr:row>
      <xdr:rowOff>45025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D3A1B48-5BE4-02B7-5FEB-10D86F048B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248399" y="1137558"/>
          <a:ext cx="2219635" cy="8668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A4BE0-0932-4BD8-B536-26AB0BE46A04}">
  <dimension ref="A1:M66"/>
  <sheetViews>
    <sheetView tabSelected="1" zoomScale="190" zoomScaleNormal="190" workbookViewId="0">
      <selection activeCell="A46" sqref="A46"/>
    </sheetView>
  </sheetViews>
  <sheetFormatPr defaultRowHeight="12.75" x14ac:dyDescent="0.2"/>
  <sheetData>
    <row r="1" spans="1:2" x14ac:dyDescent="0.2">
      <c r="A1">
        <f>-0.5*LOG(0.5,2)-0.5*LOG(0.5,2)</f>
        <v>1</v>
      </c>
      <c r="B1" t="s">
        <v>16</v>
      </c>
    </row>
    <row r="3" spans="1:2" x14ac:dyDescent="0.2">
      <c r="A3" s="1">
        <f>-0.4*LOG(0.4,2)-0.6*LOG(0.6,2)</f>
        <v>0.97095059445466858</v>
      </c>
      <c r="B3" t="s">
        <v>0</v>
      </c>
    </row>
    <row r="17" spans="1:13" x14ac:dyDescent="0.2">
      <c r="A17" t="s">
        <v>5</v>
      </c>
    </row>
    <row r="18" spans="1:13" x14ac:dyDescent="0.2">
      <c r="A18">
        <f>-0.5*LOG(0.5,2)-0.5*LOG(0.5,2)</f>
        <v>1</v>
      </c>
      <c r="B18" t="s">
        <v>2</v>
      </c>
    </row>
    <row r="19" spans="1:13" x14ac:dyDescent="0.2">
      <c r="A19" s="2">
        <f>-0.33*LOG(0.33,2)-0.67*LOG(0.67,2)</f>
        <v>0.91492637277972744</v>
      </c>
      <c r="B19" t="s">
        <v>3</v>
      </c>
    </row>
    <row r="20" spans="1:13" x14ac:dyDescent="0.2">
      <c r="A20">
        <f>0.4*A18+0.6*0.91</f>
        <v>0.94600000000000006</v>
      </c>
      <c r="B20" t="s">
        <v>4</v>
      </c>
    </row>
    <row r="21" spans="1:13" x14ac:dyDescent="0.2">
      <c r="L21" t="s">
        <v>17</v>
      </c>
      <c r="M21">
        <f>20+40</f>
        <v>60</v>
      </c>
    </row>
    <row r="22" spans="1:13" x14ac:dyDescent="0.2">
      <c r="L22" t="s">
        <v>18</v>
      </c>
      <c r="M22">
        <f>20+20</f>
        <v>40</v>
      </c>
    </row>
    <row r="32" spans="1:13" x14ac:dyDescent="0.2">
      <c r="A32" t="s">
        <v>6</v>
      </c>
    </row>
    <row r="33" spans="1:9" x14ac:dyDescent="0.2">
      <c r="A33" s="1">
        <f>-((24/50))*LOG(0.48,2)-((26/50)*LOG(0.52,2))</f>
        <v>0.99884553599520176</v>
      </c>
      <c r="B33" t="s">
        <v>7</v>
      </c>
    </row>
    <row r="34" spans="1:9" x14ac:dyDescent="0.2">
      <c r="A34" s="1">
        <f>-((16/50))*LOG((16/50),2)-((34/50)*LOG((34/50),2))</f>
        <v>0.90438145772449396</v>
      </c>
      <c r="B34" t="s">
        <v>8</v>
      </c>
    </row>
    <row r="36" spans="1:9" x14ac:dyDescent="0.2">
      <c r="A36" s="1">
        <f>0.5*A33+0.5*A34</f>
        <v>0.95161349685984786</v>
      </c>
      <c r="B36" t="s">
        <v>4</v>
      </c>
      <c r="G36">
        <f>24/50</f>
        <v>0.48</v>
      </c>
      <c r="I36" s="3" t="s">
        <v>9</v>
      </c>
    </row>
    <row r="37" spans="1:9" x14ac:dyDescent="0.2">
      <c r="G37">
        <f>26/50</f>
        <v>0.52</v>
      </c>
      <c r="I37" s="3" t="s">
        <v>10</v>
      </c>
    </row>
    <row r="40" spans="1:9" x14ac:dyDescent="0.2">
      <c r="A40" t="s">
        <v>14</v>
      </c>
    </row>
    <row r="41" spans="1:9" x14ac:dyDescent="0.2">
      <c r="A41" s="1">
        <f>A3-A36</f>
        <v>1.9337097594820718E-2</v>
      </c>
    </row>
    <row r="43" spans="1:9" x14ac:dyDescent="0.2">
      <c r="A43" t="s">
        <v>15</v>
      </c>
    </row>
    <row r="44" spans="1:9" x14ac:dyDescent="0.2">
      <c r="A44" s="1">
        <f>A3-A20</f>
        <v>2.4950594454668518E-2</v>
      </c>
    </row>
    <row r="46" spans="1:9" x14ac:dyDescent="0.2">
      <c r="A46" s="1">
        <f>MAX(A41,A44)</f>
        <v>2.4950594454668518E-2</v>
      </c>
      <c r="B46" t="s">
        <v>1</v>
      </c>
    </row>
    <row r="48" spans="1:9" x14ac:dyDescent="0.2">
      <c r="B48" t="s">
        <v>12</v>
      </c>
    </row>
    <row r="59" spans="1:2" x14ac:dyDescent="0.2">
      <c r="A59" t="s">
        <v>13</v>
      </c>
    </row>
    <row r="61" spans="1:2" x14ac:dyDescent="0.2">
      <c r="A61">
        <v>0.48</v>
      </c>
      <c r="B61" t="s">
        <v>0</v>
      </c>
    </row>
    <row r="62" spans="1:2" x14ac:dyDescent="0.2">
      <c r="A62">
        <v>0.46400000000000002</v>
      </c>
      <c r="B62" t="s">
        <v>1</v>
      </c>
    </row>
    <row r="63" spans="1:2" x14ac:dyDescent="0.2">
      <c r="A63">
        <v>0.4672</v>
      </c>
      <c r="B63" t="s">
        <v>11</v>
      </c>
    </row>
    <row r="65" spans="1:1" x14ac:dyDescent="0.2">
      <c r="A65">
        <f>A61-A62</f>
        <v>1.5999999999999959E-2</v>
      </c>
    </row>
    <row r="66" spans="1:1" x14ac:dyDescent="0.2">
      <c r="A66" s="1">
        <f>A61-A63</f>
        <v>1.2799999999999978E-2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1ABE10C52C7564DA13259294D293F6C" ma:contentTypeVersion="7" ma:contentTypeDescription="Create a new document." ma:contentTypeScope="" ma:versionID="afe0d563c44f6c4e9179a6bd38b4c76b">
  <xsd:schema xmlns:xsd="http://www.w3.org/2001/XMLSchema" xmlns:xs="http://www.w3.org/2001/XMLSchema" xmlns:p="http://schemas.microsoft.com/office/2006/metadata/properties" xmlns:ns2="f94f775f-f81c-4e8c-b1eb-ad17315b10bf" targetNamespace="http://schemas.microsoft.com/office/2006/metadata/properties" ma:root="true" ma:fieldsID="82aa4a783312aaba5acc07a600505328" ns2:_="">
    <xsd:import namespace="f94f775f-f81c-4e8c-b1eb-ad17315b10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4f775f-f81c-4e8c-b1eb-ad17315b10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BB8D8EF-F40B-4920-8D4E-3557FB3D571B}"/>
</file>

<file path=customXml/itemProps2.xml><?xml version="1.0" encoding="utf-8"?>
<ds:datastoreItem xmlns:ds="http://schemas.openxmlformats.org/officeDocument/2006/customXml" ds:itemID="{4ACD8322-48C5-4513-9898-E8804CCC2D37}"/>
</file>

<file path=customXml/itemProps3.xml><?xml version="1.0" encoding="utf-8"?>
<ds:datastoreItem xmlns:ds="http://schemas.openxmlformats.org/officeDocument/2006/customXml" ds:itemID="{4F0E0D03-5F6E-420B-80F3-B950B48E24B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 Woodland</dc:creator>
  <cp:lastModifiedBy>Nicole Woodland</cp:lastModifiedBy>
  <dcterms:created xsi:type="dcterms:W3CDTF">2025-06-04T21:01:57Z</dcterms:created>
  <dcterms:modified xsi:type="dcterms:W3CDTF">2025-11-18T00:45:25Z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0x01010041ABE10C52C7564DA13259294D293F6C</vt:lpwstr>
  </property>
</Properties>
</file>